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FCB89755-2BE1-45AD-A7F6-50361F574FE4}" xr6:coauthVersionLast="47" xr6:coauthVersionMax="47" xr10:uidLastSave="{00000000-0000-0000-0000-000000000000}"/>
  <bookViews>
    <workbookView xWindow="-120" yWindow="-120" windowWidth="20730" windowHeight="11160" activeTab="1" xr2:uid="{44839BBF-5863-46E2-8F3F-BBA995500A57}"/>
  </bookViews>
  <sheets>
    <sheet name="Abril" sheetId="1" r:id="rId1"/>
    <sheet name="Ma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G18" i="2"/>
  <c r="E33" i="2"/>
  <c r="A33" i="2"/>
  <c r="C33" i="2" s="1"/>
  <c r="D33" i="2" s="1"/>
  <c r="E32" i="2"/>
  <c r="A32" i="2"/>
  <c r="C32" i="2" s="1"/>
  <c r="D32" i="2" s="1"/>
  <c r="E31" i="2"/>
  <c r="A31" i="2"/>
  <c r="C31" i="2" s="1"/>
  <c r="D31" i="2" s="1"/>
  <c r="E30" i="2"/>
  <c r="A30" i="2"/>
  <c r="C30" i="2" s="1"/>
  <c r="D30" i="2" s="1"/>
  <c r="E29" i="2"/>
  <c r="A29" i="2"/>
  <c r="C29" i="2" s="1"/>
  <c r="D29" i="2" s="1"/>
  <c r="E28" i="2"/>
  <c r="A28" i="2"/>
  <c r="C28" i="2" s="1"/>
  <c r="D28" i="2" s="1"/>
  <c r="E27" i="2"/>
  <c r="A27" i="2"/>
  <c r="C27" i="2" s="1"/>
  <c r="D27" i="2" s="1"/>
  <c r="E26" i="2"/>
  <c r="A26" i="2"/>
  <c r="C26" i="2" s="1"/>
  <c r="D26" i="2" s="1"/>
  <c r="E25" i="2"/>
  <c r="A25" i="2"/>
  <c r="C25" i="2" s="1"/>
  <c r="D25" i="2" s="1"/>
  <c r="E24" i="2"/>
  <c r="A24" i="2"/>
  <c r="C24" i="2" s="1"/>
  <c r="D24" i="2" s="1"/>
  <c r="E23" i="2"/>
  <c r="A23" i="2"/>
  <c r="C23" i="2" s="1"/>
  <c r="D23" i="2" s="1"/>
  <c r="E22" i="2"/>
  <c r="A22" i="2"/>
  <c r="C22" i="2" s="1"/>
  <c r="D22" i="2" s="1"/>
  <c r="E21" i="2"/>
  <c r="A21" i="2"/>
  <c r="C21" i="2" s="1"/>
  <c r="D21" i="2" s="1"/>
  <c r="E20" i="2"/>
  <c r="A20" i="2"/>
  <c r="C20" i="2" s="1"/>
  <c r="D20" i="2" s="1"/>
  <c r="E19" i="2"/>
  <c r="A19" i="2"/>
  <c r="C19" i="2" s="1"/>
  <c r="D19" i="2" s="1"/>
  <c r="E18" i="2"/>
  <c r="A18" i="2"/>
  <c r="C18" i="2" s="1"/>
  <c r="D18" i="2" s="1"/>
  <c r="E17" i="2"/>
  <c r="A17" i="2"/>
  <c r="C17" i="2" s="1"/>
  <c r="D17" i="2" s="1"/>
  <c r="E16" i="2"/>
  <c r="A16" i="2"/>
  <c r="C16" i="2" s="1"/>
  <c r="D16" i="2" s="1"/>
  <c r="E15" i="2"/>
  <c r="A15" i="2"/>
  <c r="C15" i="2" s="1"/>
  <c r="D15" i="2" s="1"/>
  <c r="E14" i="2"/>
  <c r="A14" i="2"/>
  <c r="C14" i="2" s="1"/>
  <c r="D14" i="2" s="1"/>
  <c r="E13" i="2"/>
  <c r="A13" i="2"/>
  <c r="C13" i="2" s="1"/>
  <c r="D13" i="2" s="1"/>
  <c r="E12" i="2"/>
  <c r="A12" i="2"/>
  <c r="C12" i="2" s="1"/>
  <c r="D12" i="2" s="1"/>
  <c r="E11" i="2"/>
  <c r="A11" i="2"/>
  <c r="C11" i="2" s="1"/>
  <c r="D11" i="2" s="1"/>
  <c r="E10" i="2"/>
  <c r="A10" i="2"/>
  <c r="C10" i="2" s="1"/>
  <c r="D10" i="2" s="1"/>
  <c r="E9" i="2"/>
  <c r="A9" i="2"/>
  <c r="C9" i="2" s="1"/>
  <c r="D9" i="2" s="1"/>
  <c r="E8" i="2"/>
  <c r="A8" i="2"/>
  <c r="C8" i="2" s="1"/>
  <c r="D8" i="2" s="1"/>
  <c r="E7" i="2"/>
  <c r="A7" i="2"/>
  <c r="C7" i="2" s="1"/>
  <c r="D7" i="2" s="1"/>
  <c r="E6" i="2"/>
  <c r="A6" i="2"/>
  <c r="C6" i="2" s="1"/>
  <c r="D6" i="2" s="1"/>
  <c r="E5" i="2"/>
  <c r="A5" i="2"/>
  <c r="C5" i="2" s="1"/>
  <c r="D5" i="2" s="1"/>
  <c r="E4" i="2"/>
  <c r="A4" i="2"/>
  <c r="C4" i="2" s="1"/>
  <c r="D4" i="2" s="1"/>
  <c r="E3" i="2"/>
  <c r="A3" i="2"/>
  <c r="C3" i="2" s="1"/>
  <c r="D3" i="2" s="1"/>
  <c r="G16" i="1"/>
  <c r="G17" i="1" s="1"/>
  <c r="G18" i="1" s="1"/>
  <c r="G19" i="1" s="1"/>
  <c r="G20" i="1" s="1"/>
  <c r="G21" i="1" s="1"/>
  <c r="G22" i="1" s="1"/>
  <c r="G23" i="1" s="1"/>
  <c r="G24" i="1" s="1"/>
  <c r="G26" i="1" s="1"/>
  <c r="G27" i="1" s="1"/>
  <c r="G28" i="1" s="1"/>
  <c r="G29" i="1" s="1"/>
  <c r="G30" i="1" s="1"/>
  <c r="G31" i="1" s="1"/>
  <c r="G32" i="1" s="1"/>
  <c r="G33" i="1" s="1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9" i="1"/>
  <c r="G10" i="1" s="1"/>
  <c r="G11" i="1" s="1"/>
  <c r="G12" i="1" s="1"/>
  <c r="G13" i="1" s="1"/>
  <c r="G14" i="1" s="1"/>
  <c r="G15" i="1" s="1"/>
  <c r="G8" i="1"/>
  <c r="G6" i="1"/>
  <c r="G7" i="1" s="1"/>
  <c r="G5" i="1"/>
  <c r="G4" i="1"/>
  <c r="G3" i="1"/>
  <c r="A3" i="1"/>
  <c r="L3" i="1" s="1"/>
  <c r="A4" i="1"/>
  <c r="L4" i="1" s="1"/>
  <c r="A5" i="1"/>
  <c r="L5" i="1" s="1"/>
  <c r="A6" i="1"/>
  <c r="L6" i="1" s="1"/>
  <c r="A7" i="1"/>
  <c r="L7" i="1" s="1"/>
  <c r="A8" i="1"/>
  <c r="L8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E3" i="1"/>
  <c r="A15" i="1"/>
  <c r="L15" i="1" s="1"/>
  <c r="A9" i="1"/>
  <c r="L9" i="1" s="1"/>
  <c r="A10" i="1"/>
  <c r="L10" i="1" s="1"/>
  <c r="A11" i="1"/>
  <c r="L11" i="1" s="1"/>
  <c r="A12" i="1"/>
  <c r="L12" i="1" s="1"/>
  <c r="A13" i="1"/>
  <c r="L13" i="1" s="1"/>
  <c r="A14" i="1"/>
  <c r="L14" i="1" s="1"/>
  <c r="A16" i="1"/>
  <c r="L16" i="1" s="1"/>
  <c r="A17" i="1"/>
  <c r="L17" i="1" s="1"/>
  <c r="A18" i="1"/>
  <c r="L18" i="1" s="1"/>
  <c r="A19" i="1"/>
  <c r="L19" i="1" s="1"/>
  <c r="A20" i="1"/>
  <c r="L20" i="1" s="1"/>
  <c r="A21" i="1"/>
  <c r="L21" i="1" s="1"/>
  <c r="A22" i="1"/>
  <c r="L22" i="1" s="1"/>
  <c r="A23" i="1"/>
  <c r="L23" i="1" s="1"/>
  <c r="A24" i="1"/>
  <c r="L24" i="1" s="1"/>
  <c r="A25" i="1"/>
  <c r="L25" i="1" s="1"/>
  <c r="A26" i="1"/>
  <c r="L26" i="1" s="1"/>
  <c r="A27" i="1"/>
  <c r="A28" i="1"/>
  <c r="A29" i="1"/>
  <c r="L29" i="1" s="1"/>
  <c r="A30" i="1"/>
  <c r="L30" i="1" s="1"/>
  <c r="A31" i="1"/>
  <c r="L31" i="1" s="1"/>
  <c r="A32" i="1"/>
  <c r="L32" i="1" s="1"/>
  <c r="A33" i="1"/>
  <c r="L33" i="1" s="1"/>
  <c r="G19" i="2" l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N2" i="2" s="1"/>
  <c r="L14" i="2"/>
  <c r="L15" i="2"/>
  <c r="L18" i="2"/>
  <c r="L19" i="2"/>
  <c r="L20" i="2"/>
  <c r="L21" i="2"/>
  <c r="L26" i="2"/>
  <c r="L3" i="2"/>
  <c r="L27" i="2"/>
  <c r="L6" i="2"/>
  <c r="L30" i="2"/>
  <c r="L7" i="2"/>
  <c r="L31" i="2"/>
  <c r="L8" i="2"/>
  <c r="L32" i="2"/>
  <c r="L9" i="2"/>
  <c r="L33" i="2"/>
  <c r="L22" i="2"/>
  <c r="L11" i="2"/>
  <c r="L23" i="2"/>
  <c r="L4" i="2"/>
  <c r="L16" i="2"/>
  <c r="L28" i="2"/>
  <c r="L5" i="2"/>
  <c r="L29" i="2"/>
  <c r="L10" i="2"/>
  <c r="L12" i="2"/>
  <c r="L24" i="2"/>
  <c r="L17" i="2"/>
  <c r="L13" i="2"/>
  <c r="L25" i="2"/>
  <c r="C28" i="1"/>
  <c r="D28" i="1" s="1"/>
  <c r="L28" i="1"/>
  <c r="C26" i="1"/>
  <c r="D26" i="1" s="1"/>
  <c r="C27" i="1"/>
  <c r="D27" i="1" s="1"/>
  <c r="L27" i="1"/>
  <c r="C3" i="1"/>
  <c r="D3" i="1" s="1"/>
  <c r="C19" i="1"/>
  <c r="D19" i="1" s="1"/>
  <c r="C18" i="1"/>
  <c r="D18" i="1" s="1"/>
  <c r="C15" i="1"/>
  <c r="D15" i="1" s="1"/>
  <c r="C16" i="1"/>
  <c r="D16" i="1" s="1"/>
  <c r="C21" i="1"/>
  <c r="D21" i="1" s="1"/>
  <c r="C13" i="1"/>
  <c r="D13" i="1" s="1"/>
  <c r="C12" i="1"/>
  <c r="D12" i="1" s="1"/>
  <c r="C8" i="1"/>
  <c r="D8" i="1" s="1"/>
  <c r="C20" i="1"/>
  <c r="D20" i="1" s="1"/>
  <c r="C14" i="1"/>
  <c r="D14" i="1" s="1"/>
  <c r="C11" i="1"/>
  <c r="D11" i="1" s="1"/>
  <c r="C7" i="1"/>
  <c r="D7" i="1" s="1"/>
  <c r="C10" i="1"/>
  <c r="D10" i="1" s="1"/>
  <c r="C6" i="1"/>
  <c r="D6" i="1" s="1"/>
  <c r="C17" i="1"/>
  <c r="D17" i="1" s="1"/>
  <c r="C9" i="1"/>
  <c r="D9" i="1" s="1"/>
  <c r="C5" i="1"/>
  <c r="D5" i="1" s="1"/>
  <c r="C4" i="1"/>
  <c r="D4" i="1" s="1"/>
  <c r="C25" i="1"/>
  <c r="D25" i="1" s="1"/>
  <c r="C23" i="1"/>
  <c r="D23" i="1" s="1"/>
  <c r="C24" i="1"/>
  <c r="D24" i="1" s="1"/>
  <c r="C22" i="1"/>
  <c r="D22" i="1" s="1"/>
  <c r="C31" i="1"/>
  <c r="D31" i="1" s="1"/>
  <c r="C29" i="1"/>
  <c r="D29" i="1" s="1"/>
  <c r="C30" i="1"/>
  <c r="D30" i="1" s="1"/>
  <c r="C32" i="1"/>
  <c r="D32" i="1" s="1"/>
  <c r="C33" i="1"/>
  <c r="D33" i="1" s="1"/>
</calcChain>
</file>

<file path=xl/sharedStrings.xml><?xml version="1.0" encoding="utf-8"?>
<sst xmlns="http://schemas.openxmlformats.org/spreadsheetml/2006/main" count="181" uniqueCount="74">
  <si>
    <t>Mês: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</si>
  <si>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</si>
  <si>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</si>
  <si>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</si>
  <si>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</si>
  <si>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</si>
  <si>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</si>
  <si>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</si>
  <si>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</si>
  <si>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</si>
  <si>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</si>
  <si>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</si>
  <si>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</si>
  <si>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</si>
  <si>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</si>
  <si>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</si>
  <si>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</si>
  <si>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</si>
  <si>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</si>
  <si>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</si>
  <si>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</si>
  <si>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</si>
  <si>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</si>
  <si>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</si>
  <si>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</si>
  <si>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</si>
  <si>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</si>
  <si>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</si>
  <si>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</si>
  <si>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</si>
  <si>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</si>
  <si>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</si>
  <si>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Descrição Conta</t>
  </si>
  <si>
    <t>Valor</t>
  </si>
  <si>
    <t>Data vencimento</t>
  </si>
  <si>
    <t>Pago?</t>
  </si>
  <si>
    <t>Data formula</t>
  </si>
  <si>
    <t>Data hoje formula</t>
  </si>
  <si>
    <t>ok</t>
  </si>
  <si>
    <t>Formula pgto ok</t>
  </si>
  <si>
    <t>Maio</t>
  </si>
  <si>
    <t>Pagamento Recebido Bellocopo</t>
  </si>
  <si>
    <t>Pagamento Recebido CD Medical Care</t>
  </si>
  <si>
    <t>Planejamento Mensal Káic e Gabi</t>
  </si>
  <si>
    <t>Pagamento Recebido VA Bellocopo</t>
  </si>
  <si>
    <t>Geladeira (2/11 Parcelas)</t>
  </si>
  <si>
    <t>Alimentação Misturas (Compras Mercado)</t>
  </si>
  <si>
    <t>Abril</t>
  </si>
  <si>
    <t>Geladeira (1/11 Parcelas)</t>
  </si>
  <si>
    <t>Saldo Prévio</t>
  </si>
  <si>
    <t>Areia Gatíssimo (x4 Unidades)</t>
  </si>
  <si>
    <t>Microsoft</t>
  </si>
  <si>
    <t>Unhas</t>
  </si>
  <si>
    <t>Psicóloga</t>
  </si>
  <si>
    <t>Energia Elétrica (1/4 pagamento)</t>
  </si>
  <si>
    <t>Manutenção Guitarra Cort X6</t>
  </si>
  <si>
    <t>Areia Gatíssimo (x4 unidades)</t>
  </si>
  <si>
    <t>Fatura Cartão Nubank</t>
  </si>
  <si>
    <t>Dízimo (1/2 parte)</t>
  </si>
  <si>
    <t>Dízimo (2/2 parte)</t>
  </si>
  <si>
    <t>Curso Administração</t>
  </si>
  <si>
    <t>Pagamento recebido VA + VR CD Medical Care</t>
  </si>
  <si>
    <t>Netflix</t>
  </si>
  <si>
    <t>Cartão de todos</t>
  </si>
  <si>
    <t>Nível 6 Mercado Livre</t>
  </si>
  <si>
    <t>Internet Atranet</t>
  </si>
  <si>
    <t>Fatura Cartão Mercado Livre</t>
  </si>
  <si>
    <t>Cílios</t>
  </si>
  <si>
    <t>Internet Celular Vivo</t>
  </si>
  <si>
    <t>HBO</t>
  </si>
  <si>
    <t>Ração Gatos Castrados Ultralife</t>
  </si>
  <si>
    <t>Valor sobra dia 31 - Final do mês</t>
  </si>
  <si>
    <t>Planejamento Aquisições / Projetos</t>
  </si>
  <si>
    <t>Planejamento Reposição Dispensa / Compras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</si>
</sst>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ova"/>
      <family val="2"/>
    </font>
    <font>
      <b/>
      <sz val="14"/>
      <color theme="1"/>
      <name val="Arial Nova"/>
      <family val="2"/>
    </font>
    <font>
      <sz val="11"/>
      <color theme="0" tint="-0.249977111117893"/>
      <name val="Arial Nova"/>
      <family val="2"/>
    </font>
    <font>
      <sz val="11"/>
      <color theme="9" tint="-0.249977111117893"/>
      <name val="Arial Nova"/>
      <family val="2"/>
    </font>
    <font>
      <b/>
      <sz val="20"/>
      <color theme="0"/>
      <name val="Arial Nova"/>
      <family val="2"/>
    </font>
    <font>
      <b/>
      <sz val="18"/>
      <color theme="0"/>
      <name val="Arial Nova"/>
      <family val="2"/>
    </font>
    <font>
      <sz val="18"/>
      <color theme="0"/>
      <name val="Arial Nova"/>
      <family val="2"/>
    </font>
    <font>
      <b/>
      <sz val="11"/>
      <color theme="1"/>
      <name val="Arial Nova"/>
      <family val="2"/>
    </font>
    <font>
      <b/>
      <sz val="11"/>
      <color theme="0"/>
      <name val="Arial Nova"/>
      <family val="2"/>
    </font>
    <font>
      <b/>
      <sz val="10"/>
      <color theme="0"/>
      <name val="Arial Nova"/>
      <family val="2"/>
    </font>
    <font>
      <b/>
      <sz val="12"/>
      <color theme="1"/>
      <name val="Baskerville Old Face"/>
      <family val="1"/>
    </font>
    <font>
      <b/>
      <sz val="12"/>
      <color theme="1"/>
      <name val="Arial Nova"/>
      <family val="2"/>
    </font>
    <font>
      <sz val="11"/>
      <color rgb="FFF1BFBF"/>
      <name val="Arial Nova"/>
      <family val="2"/>
    </font>
    <font>
      <sz val="10"/>
      <color theme="9" tint="-0.249977111117893"/>
      <name val="Arial Nova"/>
      <family val="2"/>
    </font>
    <font>
      <sz val="10"/>
      <color theme="1"/>
      <name val="Arial Nova"/>
      <family val="2"/>
    </font>
    <font>
      <b/>
      <sz val="14"/>
      <color theme="0"/>
      <name val="Arial Nova"/>
      <family val="2"/>
    </font>
    <font>
      <sz val="11"/>
      <color theme="0"/>
      <name val="Arial Nova"/>
      <family val="2"/>
    </font>
  </fonts>
  <fills count="8">
    <fill>
      <patternFill patternType="none"/>
    </fill>
    <fill>
      <patternFill patternType="gray125"/>
    </fill>
    <fill>
      <gradientFill degree="45">
        <stop position="0">
          <color theme="1"/>
        </stop>
        <stop position="1">
          <color theme="1" tint="0.1490218817712943"/>
        </stop>
      </gradientFill>
    </fill>
    <fill>
      <gradientFill degree="270">
        <stop position="0">
          <color theme="1"/>
        </stop>
        <stop position="1">
          <color rgb="FF97513B"/>
        </stop>
      </gradientFill>
    </fill>
    <fill>
      <gradientFill degree="270">
        <stop position="0">
          <color theme="1"/>
        </stop>
        <stop position="1">
          <color theme="9"/>
        </stop>
      </gradientFill>
    </fill>
    <fill>
      <gradientFill degree="270">
        <stop position="0">
          <color theme="1"/>
        </stop>
        <stop position="1">
          <color theme="8"/>
        </stop>
      </gradientFill>
    </fill>
    <fill>
      <gradientFill degree="90">
        <stop position="0">
          <color theme="1"/>
        </stop>
        <stop position="1">
          <color theme="1" tint="0.1490218817712943"/>
        </stop>
      </gradient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 style="thick">
        <color theme="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0" tint="-0.14999847407452621"/>
      </bottom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4" fontId="5" fillId="0" borderId="5" xfId="1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4" fontId="5" fillId="0" borderId="11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4" fontId="3" fillId="0" borderId="11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44" fontId="19" fillId="6" borderId="18" xfId="0" applyNumberFormat="1" applyFont="1" applyFill="1" applyBorder="1" applyAlignment="1">
      <alignment vertical="center"/>
    </xf>
    <xf numFmtId="44" fontId="19" fillId="6" borderId="0" xfId="0" applyNumberFormat="1" applyFont="1" applyFill="1" applyAlignment="1">
      <alignment vertical="center"/>
    </xf>
    <xf numFmtId="0" fontId="19" fillId="6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44" fontId="16" fillId="7" borderId="1" xfId="1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4" fontId="5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4" fontId="6" fillId="7" borderId="1" xfId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44" fontId="5" fillId="7" borderId="5" xfId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44" fontId="3" fillId="7" borderId="5" xfId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0"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</dxfs>
  <tableStyles count="0" defaultTableStyle="TableStyleMedium2" defaultPivotStyle="PivotStyleLight16"/>
  <colors>
    <mruColors>
      <color rgb="FFF1BFBF"/>
      <color rgb="FFE6BFBF"/>
      <color rgb="FFFFF5C1"/>
      <color rgb="FFA9DBB6"/>
      <color rgb="FFFCBCBE"/>
      <color rgb="FF97513B"/>
      <color rgb="FF002C54"/>
      <color rgb="FFED7F69"/>
      <color rgb="FFF4B2A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5DC-1D52-4F32-8119-AD9551B6C1F6}">
  <dimension ref="A1:L34"/>
  <sheetViews>
    <sheetView topLeftCell="F8" workbookViewId="0">
      <selection activeCell="G26" sqref="G26"/>
    </sheetView>
  </sheetViews>
  <sheetFormatPr defaultRowHeight="14.25" x14ac:dyDescent="0.25"/>
  <cols>
    <col min="1" max="5" width="18.85546875" style="1" hidden="1" customWidth="1"/>
    <col min="6" max="6" width="6.85546875" style="1" bestFit="1" customWidth="1"/>
    <col min="7" max="7" width="13.5703125" style="1" customWidth="1"/>
    <col min="8" max="8" width="67.85546875" style="1" customWidth="1"/>
    <col min="9" max="9" width="15.5703125" style="1" customWidth="1"/>
    <col min="10" max="10" width="16.85546875" style="1" customWidth="1"/>
    <col min="11" max="16384" width="9.140625" style="1"/>
  </cols>
  <sheetData>
    <row r="1" spans="1:12" ht="29.25" customHeight="1" thickTop="1" x14ac:dyDescent="0.25">
      <c r="A1" s="56" t="s">
        <v>43</v>
      </c>
      <c r="B1" s="57"/>
      <c r="C1" s="57"/>
      <c r="D1" s="57"/>
      <c r="E1" s="57"/>
      <c r="F1" s="58"/>
      <c r="G1" s="58"/>
      <c r="H1" s="59"/>
      <c r="I1" s="32" t="s">
        <v>0</v>
      </c>
      <c r="J1" s="60" t="s">
        <v>47</v>
      </c>
      <c r="K1" s="60"/>
    </row>
    <row r="2" spans="1:12" ht="21.75" customHeight="1" x14ac:dyDescent="0.25">
      <c r="A2" s="10" t="s">
        <v>37</v>
      </c>
      <c r="B2" s="2" t="s">
        <v>36</v>
      </c>
      <c r="C2" s="2" t="s">
        <v>39</v>
      </c>
      <c r="D2" s="2"/>
      <c r="E2" s="22"/>
      <c r="F2" s="28"/>
      <c r="G2" s="29" t="s">
        <v>49</v>
      </c>
      <c r="H2" s="30" t="s">
        <v>32</v>
      </c>
      <c r="I2" s="29" t="s">
        <v>33</v>
      </c>
      <c r="J2" s="31" t="s">
        <v>34</v>
      </c>
      <c r="K2" s="29" t="s">
        <v>35</v>
      </c>
    </row>
    <row r="3" spans="1:12" ht="15" customHeight="1" x14ac:dyDescent="0.25">
      <c r="A3" s="11">
        <f t="shared" ref="A3:A8" ca="1" si="0">TODAY()</f>
        <v>45041</v>
      </c>
      <c r="B3" s="3">
        <v>45017</v>
      </c>
      <c r="C3" s="4">
        <f ca="1">A3-B3</f>
        <v>24</v>
      </c>
      <c r="D3" s="4" t="e">
        <f ca="1">C3+K3</f>
        <v>#VALUE!</v>
      </c>
      <c r="E3" s="4" t="b">
        <f>IF(10,K3="ok",0)</f>
        <v>1</v>
      </c>
      <c r="F3" s="23" t="s">
        <v>1</v>
      </c>
      <c r="G3" s="24">
        <f>I3</f>
        <v>0</v>
      </c>
      <c r="H3" s="25"/>
      <c r="I3" s="26"/>
      <c r="J3" s="25"/>
      <c r="K3" s="27" t="s">
        <v>38</v>
      </c>
      <c r="L3" s="20" t="str">
        <f t="shared" ref="L3:L24" ca="1" si="1">IF(A3=B3,"➜ Hoje","")</f>
        <v/>
      </c>
    </row>
    <row r="4" spans="1:12" ht="15" customHeight="1" x14ac:dyDescent="0.25">
      <c r="A4" s="11">
        <f t="shared" ca="1" si="0"/>
        <v>45041</v>
      </c>
      <c r="B4" s="3">
        <v>45018</v>
      </c>
      <c r="C4" s="4">
        <f ca="1">A4-B4</f>
        <v>23</v>
      </c>
      <c r="D4" s="4" t="e">
        <f t="shared" ref="D4:D33" ca="1" si="2">C4+K4</f>
        <v>#VALUE!</v>
      </c>
      <c r="E4" s="4" t="b">
        <f>IF(10,K4="ok",0)</f>
        <v>1</v>
      </c>
      <c r="F4" s="5" t="s">
        <v>2</v>
      </c>
      <c r="G4" s="6">
        <f>G3+I4</f>
        <v>0</v>
      </c>
      <c r="H4" s="4"/>
      <c r="I4" s="7"/>
      <c r="J4" s="4"/>
      <c r="K4" s="18" t="s">
        <v>38</v>
      </c>
      <c r="L4" s="20" t="str">
        <f t="shared" ca="1" si="1"/>
        <v/>
      </c>
    </row>
    <row r="5" spans="1:12" ht="15" customHeight="1" x14ac:dyDescent="0.25">
      <c r="A5" s="11">
        <f t="shared" ca="1" si="0"/>
        <v>45041</v>
      </c>
      <c r="B5" s="3">
        <v>45019</v>
      </c>
      <c r="C5" s="4">
        <f t="shared" ref="C5:C33" ca="1" si="3">A5-B5</f>
        <v>22</v>
      </c>
      <c r="D5" s="4" t="e">
        <f t="shared" ca="1" si="2"/>
        <v>#VALUE!</v>
      </c>
      <c r="E5" s="4" t="b">
        <f t="shared" ref="E5:E33" si="4">IF(10,K5="ok",0)</f>
        <v>1</v>
      </c>
      <c r="F5" s="5" t="s">
        <v>3</v>
      </c>
      <c r="G5" s="6">
        <f>G4+I5</f>
        <v>0</v>
      </c>
      <c r="H5" s="4"/>
      <c r="I5" s="7"/>
      <c r="J5" s="4"/>
      <c r="K5" s="18" t="s">
        <v>38</v>
      </c>
      <c r="L5" s="20" t="str">
        <f t="shared" ca="1" si="1"/>
        <v/>
      </c>
    </row>
    <row r="6" spans="1:12" ht="15" customHeight="1" x14ac:dyDescent="0.25">
      <c r="A6" s="11">
        <f t="shared" ca="1" si="0"/>
        <v>45041</v>
      </c>
      <c r="B6" s="3">
        <v>45020</v>
      </c>
      <c r="C6" s="4">
        <f t="shared" ca="1" si="3"/>
        <v>21</v>
      </c>
      <c r="D6" s="4" t="e">
        <f t="shared" ca="1" si="2"/>
        <v>#VALUE!</v>
      </c>
      <c r="E6" s="4" t="b">
        <f t="shared" si="4"/>
        <v>1</v>
      </c>
      <c r="F6" s="5" t="s">
        <v>4</v>
      </c>
      <c r="G6" s="6">
        <f t="shared" ref="G6:G7" si="5">G5+I6</f>
        <v>0</v>
      </c>
      <c r="H6" s="4"/>
      <c r="I6" s="7"/>
      <c r="J6" s="4"/>
      <c r="K6" s="18" t="s">
        <v>38</v>
      </c>
      <c r="L6" s="20" t="str">
        <f t="shared" ca="1" si="1"/>
        <v/>
      </c>
    </row>
    <row r="7" spans="1:12" ht="15" customHeight="1" x14ac:dyDescent="0.25">
      <c r="A7" s="11">
        <f t="shared" ca="1" si="0"/>
        <v>45041</v>
      </c>
      <c r="B7" s="3">
        <v>45021</v>
      </c>
      <c r="C7" s="4">
        <f t="shared" ca="1" si="3"/>
        <v>20</v>
      </c>
      <c r="D7" s="4" t="e">
        <f t="shared" ca="1" si="2"/>
        <v>#VALUE!</v>
      </c>
      <c r="E7" s="4" t="b">
        <f t="shared" si="4"/>
        <v>1</v>
      </c>
      <c r="F7" s="5" t="s">
        <v>5</v>
      </c>
      <c r="G7" s="6">
        <f t="shared" si="5"/>
        <v>1000</v>
      </c>
      <c r="H7" s="8" t="s">
        <v>41</v>
      </c>
      <c r="I7" s="9">
        <v>1000</v>
      </c>
      <c r="J7" s="4" t="s">
        <v>5</v>
      </c>
      <c r="K7" s="18" t="s">
        <v>38</v>
      </c>
      <c r="L7" s="20" t="str">
        <f t="shared" ca="1" si="1"/>
        <v/>
      </c>
    </row>
    <row r="8" spans="1:12" ht="15" customHeight="1" x14ac:dyDescent="0.25">
      <c r="A8" s="11">
        <f t="shared" ca="1" si="0"/>
        <v>45041</v>
      </c>
      <c r="B8" s="3">
        <v>45022</v>
      </c>
      <c r="C8" s="4">
        <f t="shared" ca="1" si="3"/>
        <v>19</v>
      </c>
      <c r="D8" s="4" t="e">
        <f t="shared" ca="1" si="2"/>
        <v>#VALUE!</v>
      </c>
      <c r="E8" s="4" t="b">
        <f t="shared" si="4"/>
        <v>1</v>
      </c>
      <c r="F8" s="5" t="s">
        <v>6</v>
      </c>
      <c r="G8" s="6">
        <f>G7+I8</f>
        <v>2700</v>
      </c>
      <c r="H8" s="8" t="s">
        <v>42</v>
      </c>
      <c r="I8" s="9">
        <v>1700</v>
      </c>
      <c r="J8" s="4" t="s">
        <v>6</v>
      </c>
      <c r="K8" s="18" t="s">
        <v>38</v>
      </c>
      <c r="L8" s="20" t="str">
        <f t="shared" ca="1" si="1"/>
        <v/>
      </c>
    </row>
    <row r="9" spans="1:12" ht="15" customHeight="1" x14ac:dyDescent="0.25">
      <c r="A9" s="11">
        <f t="shared" ref="A9:A33" ca="1" si="6">TODAY()</f>
        <v>45041</v>
      </c>
      <c r="B9" s="3">
        <v>45023</v>
      </c>
      <c r="C9" s="4">
        <f t="shared" ca="1" si="3"/>
        <v>18</v>
      </c>
      <c r="D9" s="4" t="e">
        <f t="shared" ca="1" si="2"/>
        <v>#VALUE!</v>
      </c>
      <c r="E9" s="4" t="b">
        <f t="shared" si="4"/>
        <v>1</v>
      </c>
      <c r="F9" s="5" t="s">
        <v>7</v>
      </c>
      <c r="G9" s="6">
        <f t="shared" ref="G9:G33" si="7">G8+I9</f>
        <v>2640.4</v>
      </c>
      <c r="H9" s="4" t="s">
        <v>50</v>
      </c>
      <c r="I9" s="7">
        <v>-59.6</v>
      </c>
      <c r="J9" s="4" t="s">
        <v>6</v>
      </c>
      <c r="K9" s="18" t="s">
        <v>38</v>
      </c>
      <c r="L9" s="20" t="str">
        <f t="shared" ca="1" si="1"/>
        <v/>
      </c>
    </row>
    <row r="10" spans="1:12" ht="15" customHeight="1" x14ac:dyDescent="0.25">
      <c r="A10" s="11">
        <f t="shared" ca="1" si="6"/>
        <v>45041</v>
      </c>
      <c r="B10" s="3">
        <v>45024</v>
      </c>
      <c r="C10" s="4">
        <f t="shared" ca="1" si="3"/>
        <v>17</v>
      </c>
      <c r="D10" s="4" t="e">
        <f t="shared" ca="1" si="2"/>
        <v>#VALUE!</v>
      </c>
      <c r="E10" s="4" t="b">
        <f t="shared" si="4"/>
        <v>1</v>
      </c>
      <c r="F10" s="5" t="s">
        <v>8</v>
      </c>
      <c r="G10" s="6">
        <f t="shared" si="7"/>
        <v>2601.4</v>
      </c>
      <c r="H10" s="4" t="s">
        <v>51</v>
      </c>
      <c r="I10" s="7">
        <v>-39</v>
      </c>
      <c r="J10" s="4" t="s">
        <v>6</v>
      </c>
      <c r="K10" s="18" t="s">
        <v>38</v>
      </c>
      <c r="L10" s="20" t="str">
        <f t="shared" ca="1" si="1"/>
        <v/>
      </c>
    </row>
    <row r="11" spans="1:12" ht="15" customHeight="1" x14ac:dyDescent="0.25">
      <c r="A11" s="11">
        <f t="shared" ca="1" si="6"/>
        <v>45041</v>
      </c>
      <c r="B11" s="3">
        <v>45025</v>
      </c>
      <c r="C11" s="4">
        <f t="shared" ca="1" si="3"/>
        <v>16</v>
      </c>
      <c r="D11" s="4" t="e">
        <f t="shared" ca="1" si="2"/>
        <v>#VALUE!</v>
      </c>
      <c r="E11" s="4" t="b">
        <f t="shared" si="4"/>
        <v>1</v>
      </c>
      <c r="F11" s="5" t="s">
        <v>9</v>
      </c>
      <c r="G11" s="6">
        <f t="shared" si="7"/>
        <v>2501.4</v>
      </c>
      <c r="H11" s="4" t="s">
        <v>52</v>
      </c>
      <c r="I11" s="7">
        <v>-100</v>
      </c>
      <c r="J11" s="4" t="s">
        <v>6</v>
      </c>
      <c r="K11" s="18" t="s">
        <v>38</v>
      </c>
      <c r="L11" s="20" t="str">
        <f t="shared" ca="1" si="1"/>
        <v/>
      </c>
    </row>
    <row r="12" spans="1:12" ht="15" customHeight="1" x14ac:dyDescent="0.25">
      <c r="A12" s="11">
        <f t="shared" ca="1" si="6"/>
        <v>45041</v>
      </c>
      <c r="B12" s="3">
        <v>45026</v>
      </c>
      <c r="C12" s="4">
        <f t="shared" ca="1" si="3"/>
        <v>15</v>
      </c>
      <c r="D12" s="4" t="e">
        <f t="shared" ca="1" si="2"/>
        <v>#VALUE!</v>
      </c>
      <c r="E12" s="4" t="b">
        <f t="shared" si="4"/>
        <v>1</v>
      </c>
      <c r="F12" s="5" t="s">
        <v>10</v>
      </c>
      <c r="G12" s="6">
        <f t="shared" si="7"/>
        <v>2101.4</v>
      </c>
      <c r="H12" s="4" t="s">
        <v>53</v>
      </c>
      <c r="I12" s="7">
        <v>-400</v>
      </c>
      <c r="J12" s="4" t="s">
        <v>7</v>
      </c>
      <c r="K12" s="18" t="s">
        <v>38</v>
      </c>
      <c r="L12" s="20" t="str">
        <f t="shared" ca="1" si="1"/>
        <v/>
      </c>
    </row>
    <row r="13" spans="1:12" ht="15" customHeight="1" x14ac:dyDescent="0.25">
      <c r="A13" s="11">
        <f t="shared" ca="1" si="6"/>
        <v>45041</v>
      </c>
      <c r="B13" s="3">
        <v>45027</v>
      </c>
      <c r="C13" s="4">
        <f t="shared" ca="1" si="3"/>
        <v>14</v>
      </c>
      <c r="D13" s="4" t="e">
        <f t="shared" ca="1" si="2"/>
        <v>#VALUE!</v>
      </c>
      <c r="E13" s="4" t="b">
        <f t="shared" si="4"/>
        <v>1</v>
      </c>
      <c r="F13" s="5" t="s">
        <v>11</v>
      </c>
      <c r="G13" s="6">
        <f t="shared" si="7"/>
        <v>1991.4</v>
      </c>
      <c r="H13" s="4" t="s">
        <v>54</v>
      </c>
      <c r="I13" s="7">
        <v>-110</v>
      </c>
      <c r="J13" s="4" t="s">
        <v>8</v>
      </c>
      <c r="K13" s="18" t="s">
        <v>38</v>
      </c>
      <c r="L13" s="20" t="str">
        <f t="shared" ca="1" si="1"/>
        <v/>
      </c>
    </row>
    <row r="14" spans="1:12" ht="15" customHeight="1" x14ac:dyDescent="0.25">
      <c r="A14" s="11">
        <f t="shared" ca="1" si="6"/>
        <v>45041</v>
      </c>
      <c r="B14" s="3">
        <v>45028</v>
      </c>
      <c r="C14" s="4">
        <f t="shared" ca="1" si="3"/>
        <v>13</v>
      </c>
      <c r="D14" s="4" t="e">
        <f t="shared" ca="1" si="2"/>
        <v>#VALUE!</v>
      </c>
      <c r="E14" s="4" t="b">
        <f t="shared" si="4"/>
        <v>1</v>
      </c>
      <c r="F14" s="5" t="s">
        <v>12</v>
      </c>
      <c r="G14" s="6">
        <f t="shared" si="7"/>
        <v>1991.4</v>
      </c>
      <c r="H14" s="4"/>
      <c r="I14" s="7"/>
      <c r="J14" s="4"/>
      <c r="K14" s="18" t="s">
        <v>38</v>
      </c>
      <c r="L14" s="20" t="str">
        <f t="shared" ca="1" si="1"/>
        <v/>
      </c>
    </row>
    <row r="15" spans="1:12" ht="15" customHeight="1" x14ac:dyDescent="0.25">
      <c r="A15" s="11">
        <f t="shared" ca="1" si="6"/>
        <v>45041</v>
      </c>
      <c r="B15" s="3">
        <v>45029</v>
      </c>
      <c r="C15" s="4">
        <f t="shared" ca="1" si="3"/>
        <v>12</v>
      </c>
      <c r="D15" s="4" t="e">
        <f t="shared" ca="1" si="2"/>
        <v>#VALUE!</v>
      </c>
      <c r="E15" s="4" t="b">
        <f t="shared" si="4"/>
        <v>1</v>
      </c>
      <c r="F15" s="5" t="s">
        <v>13</v>
      </c>
      <c r="G15" s="6">
        <f t="shared" si="7"/>
        <v>1991.4</v>
      </c>
      <c r="H15" s="4"/>
      <c r="I15" s="7"/>
      <c r="J15" s="4"/>
      <c r="K15" s="18" t="s">
        <v>38</v>
      </c>
      <c r="L15" s="20" t="str">
        <f t="shared" ca="1" si="1"/>
        <v/>
      </c>
    </row>
    <row r="16" spans="1:12" ht="15" customHeight="1" x14ac:dyDescent="0.25">
      <c r="A16" s="11">
        <f t="shared" ca="1" si="6"/>
        <v>45041</v>
      </c>
      <c r="B16" s="3">
        <v>45030</v>
      </c>
      <c r="C16" s="4">
        <f t="shared" ca="1" si="3"/>
        <v>11</v>
      </c>
      <c r="D16" s="4" t="e">
        <f t="shared" ca="1" si="2"/>
        <v>#VALUE!</v>
      </c>
      <c r="E16" s="4" t="b">
        <f t="shared" si="4"/>
        <v>1</v>
      </c>
      <c r="F16" s="5" t="s">
        <v>14</v>
      </c>
      <c r="G16" s="6">
        <f t="shared" si="7"/>
        <v>1991.4</v>
      </c>
      <c r="H16" s="4"/>
      <c r="I16" s="7"/>
      <c r="J16" s="4"/>
      <c r="K16" s="18" t="s">
        <v>38</v>
      </c>
      <c r="L16" s="20" t="str">
        <f t="shared" ca="1" si="1"/>
        <v/>
      </c>
    </row>
    <row r="17" spans="1:12" ht="15" customHeight="1" x14ac:dyDescent="0.25">
      <c r="A17" s="11">
        <f t="shared" ca="1" si="6"/>
        <v>45041</v>
      </c>
      <c r="B17" s="3">
        <v>45031</v>
      </c>
      <c r="C17" s="4">
        <f t="shared" ca="1" si="3"/>
        <v>10</v>
      </c>
      <c r="D17" s="4" t="e">
        <f t="shared" ca="1" si="2"/>
        <v>#VALUE!</v>
      </c>
      <c r="E17" s="4" t="b">
        <f t="shared" si="4"/>
        <v>1</v>
      </c>
      <c r="F17" s="5" t="s">
        <v>15</v>
      </c>
      <c r="G17" s="6">
        <f t="shared" si="7"/>
        <v>2131.4</v>
      </c>
      <c r="H17" s="8" t="s">
        <v>44</v>
      </c>
      <c r="I17" s="9">
        <v>140</v>
      </c>
      <c r="J17" s="4" t="s">
        <v>15</v>
      </c>
      <c r="K17" s="18" t="s">
        <v>38</v>
      </c>
      <c r="L17" s="20" t="str">
        <f t="shared" ca="1" si="1"/>
        <v/>
      </c>
    </row>
    <row r="18" spans="1:12" ht="15" customHeight="1" x14ac:dyDescent="0.25">
      <c r="A18" s="11">
        <f t="shared" ca="1" si="6"/>
        <v>45041</v>
      </c>
      <c r="B18" s="3">
        <v>45032</v>
      </c>
      <c r="C18" s="4">
        <f t="shared" ca="1" si="3"/>
        <v>9</v>
      </c>
      <c r="D18" s="4" t="e">
        <f t="shared" ca="1" si="2"/>
        <v>#VALUE!</v>
      </c>
      <c r="E18" s="4" t="b">
        <f t="shared" si="4"/>
        <v>1</v>
      </c>
      <c r="F18" s="5" t="s">
        <v>16</v>
      </c>
      <c r="G18" s="6">
        <f t="shared" si="7"/>
        <v>1991.4</v>
      </c>
      <c r="H18" s="4" t="s">
        <v>46</v>
      </c>
      <c r="I18" s="7">
        <v>-140</v>
      </c>
      <c r="J18" s="4" t="s">
        <v>16</v>
      </c>
      <c r="K18" s="18" t="s">
        <v>38</v>
      </c>
      <c r="L18" s="20" t="str">
        <f t="shared" ca="1" si="1"/>
        <v/>
      </c>
    </row>
    <row r="19" spans="1:12" ht="15" customHeight="1" x14ac:dyDescent="0.25">
      <c r="A19" s="11">
        <f t="shared" ca="1" si="6"/>
        <v>45041</v>
      </c>
      <c r="B19" s="3">
        <v>45033</v>
      </c>
      <c r="C19" s="4">
        <f t="shared" ca="1" si="3"/>
        <v>8</v>
      </c>
      <c r="D19" s="4" t="e">
        <f t="shared" ca="1" si="2"/>
        <v>#VALUE!</v>
      </c>
      <c r="E19" s="4" t="b">
        <f t="shared" si="4"/>
        <v>1</v>
      </c>
      <c r="F19" s="5" t="s">
        <v>17</v>
      </c>
      <c r="G19" s="6">
        <f t="shared" si="7"/>
        <v>1991.4</v>
      </c>
      <c r="H19" s="8"/>
      <c r="I19" s="9"/>
      <c r="J19" s="4"/>
      <c r="K19" s="18" t="s">
        <v>38</v>
      </c>
      <c r="L19" s="20" t="str">
        <f t="shared" ca="1" si="1"/>
        <v/>
      </c>
    </row>
    <row r="20" spans="1:12" ht="15" customHeight="1" x14ac:dyDescent="0.25">
      <c r="A20" s="11">
        <f t="shared" ca="1" si="6"/>
        <v>45041</v>
      </c>
      <c r="B20" s="3">
        <v>45034</v>
      </c>
      <c r="C20" s="4">
        <f t="shared" ca="1" si="3"/>
        <v>7</v>
      </c>
      <c r="D20" s="4" t="e">
        <f t="shared" ca="1" si="2"/>
        <v>#VALUE!</v>
      </c>
      <c r="E20" s="4" t="b">
        <f t="shared" si="4"/>
        <v>1</v>
      </c>
      <c r="F20" s="5" t="s">
        <v>18</v>
      </c>
      <c r="G20" s="6">
        <f t="shared" si="7"/>
        <v>1991.4</v>
      </c>
      <c r="H20" s="8"/>
      <c r="I20" s="9"/>
      <c r="J20" s="4"/>
      <c r="K20" s="18" t="s">
        <v>38</v>
      </c>
      <c r="L20" s="20" t="str">
        <f t="shared" ca="1" si="1"/>
        <v/>
      </c>
    </row>
    <row r="21" spans="1:12" ht="15" customHeight="1" x14ac:dyDescent="0.25">
      <c r="A21" s="11">
        <f t="shared" ca="1" si="6"/>
        <v>45041</v>
      </c>
      <c r="B21" s="3">
        <v>45035</v>
      </c>
      <c r="C21" s="4">
        <f t="shared" ca="1" si="3"/>
        <v>6</v>
      </c>
      <c r="D21" s="4" t="e">
        <f t="shared" ca="1" si="2"/>
        <v>#VALUE!</v>
      </c>
      <c r="E21" s="4" t="b">
        <f t="shared" si="4"/>
        <v>1</v>
      </c>
      <c r="F21" s="5" t="s">
        <v>19</v>
      </c>
      <c r="G21" s="6">
        <f t="shared" si="7"/>
        <v>1631.4</v>
      </c>
      <c r="H21" s="4" t="s">
        <v>48</v>
      </c>
      <c r="I21" s="7">
        <v>-360</v>
      </c>
      <c r="J21" s="4"/>
      <c r="K21" s="18" t="s">
        <v>38</v>
      </c>
      <c r="L21" s="20" t="str">
        <f t="shared" ca="1" si="1"/>
        <v/>
      </c>
    </row>
    <row r="22" spans="1:12" ht="15" customHeight="1" x14ac:dyDescent="0.25">
      <c r="A22" s="11">
        <f t="shared" ca="1" si="6"/>
        <v>45041</v>
      </c>
      <c r="B22" s="3">
        <v>45036</v>
      </c>
      <c r="C22" s="4">
        <f t="shared" ca="1" si="3"/>
        <v>5</v>
      </c>
      <c r="D22" s="4" t="e">
        <f t="shared" ca="1" si="2"/>
        <v>#VALUE!</v>
      </c>
      <c r="E22" s="4" t="b">
        <f t="shared" si="4"/>
        <v>1</v>
      </c>
      <c r="F22" s="5" t="s">
        <v>20</v>
      </c>
      <c r="G22" s="6">
        <f t="shared" si="7"/>
        <v>2631.4</v>
      </c>
      <c r="H22" s="8" t="s">
        <v>41</v>
      </c>
      <c r="I22" s="9">
        <v>1000</v>
      </c>
      <c r="J22" s="4" t="s">
        <v>20</v>
      </c>
      <c r="K22" s="18" t="s">
        <v>38</v>
      </c>
      <c r="L22" s="20" t="str">
        <f t="shared" ca="1" si="1"/>
        <v/>
      </c>
    </row>
    <row r="23" spans="1:12" ht="15" customHeight="1" x14ac:dyDescent="0.25">
      <c r="A23" s="11">
        <f t="shared" ca="1" si="6"/>
        <v>45041</v>
      </c>
      <c r="B23" s="3">
        <v>45037</v>
      </c>
      <c r="C23" s="4">
        <f t="shared" ca="1" si="3"/>
        <v>4</v>
      </c>
      <c r="D23" s="4" t="e">
        <f t="shared" ca="1" si="2"/>
        <v>#VALUE!</v>
      </c>
      <c r="E23" s="4" t="b">
        <f t="shared" si="4"/>
        <v>1</v>
      </c>
      <c r="F23" s="5" t="s">
        <v>21</v>
      </c>
      <c r="G23" s="6">
        <f t="shared" si="7"/>
        <v>2631.4</v>
      </c>
      <c r="H23" s="4"/>
      <c r="I23" s="7"/>
      <c r="J23" s="4"/>
      <c r="K23" s="18" t="s">
        <v>38</v>
      </c>
      <c r="L23" s="20" t="str">
        <f t="shared" ca="1" si="1"/>
        <v/>
      </c>
    </row>
    <row r="24" spans="1:12" ht="15" customHeight="1" x14ac:dyDescent="0.25">
      <c r="A24" s="11">
        <f t="shared" ca="1" si="6"/>
        <v>45041</v>
      </c>
      <c r="B24" s="3">
        <v>45038</v>
      </c>
      <c r="C24" s="4">
        <f t="shared" ca="1" si="3"/>
        <v>3</v>
      </c>
      <c r="D24" s="4" t="e">
        <f t="shared" ca="1" si="2"/>
        <v>#VALUE!</v>
      </c>
      <c r="E24" s="4" t="b">
        <f t="shared" si="4"/>
        <v>1</v>
      </c>
      <c r="F24" s="5" t="s">
        <v>22</v>
      </c>
      <c r="G24" s="6">
        <f t="shared" si="7"/>
        <v>2631.4</v>
      </c>
      <c r="H24" s="4"/>
      <c r="I24" s="7"/>
      <c r="J24" s="4"/>
      <c r="K24" s="18" t="s">
        <v>38</v>
      </c>
      <c r="L24" s="20" t="str">
        <f t="shared" ca="1" si="1"/>
        <v/>
      </c>
    </row>
    <row r="25" spans="1:12" ht="15" customHeight="1" x14ac:dyDescent="0.25">
      <c r="A25" s="11">
        <f t="shared" ca="1" si="6"/>
        <v>45041</v>
      </c>
      <c r="B25" s="3">
        <v>45039</v>
      </c>
      <c r="C25" s="4">
        <f t="shared" ca="1" si="3"/>
        <v>2</v>
      </c>
      <c r="D25" s="4" t="e">
        <f t="shared" ca="1" si="2"/>
        <v>#VALUE!</v>
      </c>
      <c r="E25" s="4" t="b">
        <f t="shared" si="4"/>
        <v>1</v>
      </c>
      <c r="F25" s="5" t="s">
        <v>23</v>
      </c>
      <c r="G25" s="6">
        <v>0</v>
      </c>
      <c r="H25" s="4"/>
      <c r="I25" s="7"/>
      <c r="J25" s="4"/>
      <c r="K25" s="18" t="s">
        <v>38</v>
      </c>
      <c r="L25" s="20" t="str">
        <f ca="1">IF(A25=B25,"➜ Hoje","")</f>
        <v/>
      </c>
    </row>
    <row r="26" spans="1:12" ht="15" customHeight="1" x14ac:dyDescent="0.25">
      <c r="A26" s="11">
        <f t="shared" ca="1" si="6"/>
        <v>45041</v>
      </c>
      <c r="B26" s="3">
        <v>45040</v>
      </c>
      <c r="C26" s="4">
        <f t="shared" ca="1" si="3"/>
        <v>1</v>
      </c>
      <c r="D26" s="4">
        <f t="shared" ca="1" si="2"/>
        <v>1</v>
      </c>
      <c r="E26" s="4" t="b">
        <f t="shared" si="4"/>
        <v>0</v>
      </c>
      <c r="F26" s="5" t="s">
        <v>24</v>
      </c>
      <c r="G26" s="6">
        <f t="shared" si="7"/>
        <v>0</v>
      </c>
      <c r="H26" s="4"/>
      <c r="I26" s="7"/>
      <c r="J26" s="4"/>
      <c r="K26" s="18"/>
      <c r="L26" s="21" t="str">
        <f ca="1">IF(A26=B26,"➜ Hoje","")</f>
        <v/>
      </c>
    </row>
    <row r="27" spans="1:12" ht="15" customHeight="1" x14ac:dyDescent="0.25">
      <c r="A27" s="11">
        <f t="shared" ca="1" si="6"/>
        <v>45041</v>
      </c>
      <c r="B27" s="3">
        <v>45041</v>
      </c>
      <c r="C27" s="4">
        <f t="shared" ca="1" si="3"/>
        <v>0</v>
      </c>
      <c r="D27" s="4">
        <f t="shared" ca="1" si="2"/>
        <v>0</v>
      </c>
      <c r="E27" s="4" t="b">
        <f t="shared" si="4"/>
        <v>0</v>
      </c>
      <c r="F27" s="5" t="s">
        <v>25</v>
      </c>
      <c r="G27" s="6">
        <f t="shared" si="7"/>
        <v>0</v>
      </c>
      <c r="H27" s="4"/>
      <c r="I27" s="7"/>
      <c r="J27" s="4"/>
      <c r="K27" s="18"/>
      <c r="L27" s="20" t="str">
        <f t="shared" ref="L27:L33" ca="1" si="8">IF(A27=B27,"➜ Hoje","")</f>
        <v>➜ Hoje</v>
      </c>
    </row>
    <row r="28" spans="1:12" ht="15" customHeight="1" x14ac:dyDescent="0.25">
      <c r="A28" s="11">
        <f t="shared" ca="1" si="6"/>
        <v>45041</v>
      </c>
      <c r="B28" s="3">
        <v>45042</v>
      </c>
      <c r="C28" s="4">
        <f t="shared" ca="1" si="3"/>
        <v>-1</v>
      </c>
      <c r="D28" s="4">
        <f t="shared" ca="1" si="2"/>
        <v>-1</v>
      </c>
      <c r="E28" s="4" t="b">
        <f t="shared" si="4"/>
        <v>0</v>
      </c>
      <c r="F28" s="5" t="s">
        <v>26</v>
      </c>
      <c r="G28" s="6">
        <f t="shared" si="7"/>
        <v>0</v>
      </c>
      <c r="H28" s="4"/>
      <c r="I28" s="7"/>
      <c r="J28" s="4"/>
      <c r="K28" s="18"/>
      <c r="L28" s="20" t="str">
        <f t="shared" ca="1" si="8"/>
        <v/>
      </c>
    </row>
    <row r="29" spans="1:12" ht="15" customHeight="1" x14ac:dyDescent="0.25">
      <c r="A29" s="11">
        <f t="shared" ca="1" si="6"/>
        <v>45041</v>
      </c>
      <c r="B29" s="3">
        <v>45043</v>
      </c>
      <c r="C29" s="4">
        <f t="shared" ca="1" si="3"/>
        <v>-2</v>
      </c>
      <c r="D29" s="4">
        <f t="shared" ca="1" si="2"/>
        <v>-2</v>
      </c>
      <c r="E29" s="4" t="b">
        <f t="shared" si="4"/>
        <v>0</v>
      </c>
      <c r="F29" s="5" t="s">
        <v>27</v>
      </c>
      <c r="G29" s="6">
        <f t="shared" si="7"/>
        <v>0</v>
      </c>
      <c r="H29" s="4"/>
      <c r="I29" s="7"/>
      <c r="J29" s="4"/>
      <c r="K29" s="18"/>
      <c r="L29" s="20" t="str">
        <f t="shared" ca="1" si="8"/>
        <v/>
      </c>
    </row>
    <row r="30" spans="1:12" ht="15" customHeight="1" x14ac:dyDescent="0.25">
      <c r="A30" s="11">
        <f t="shared" ca="1" si="6"/>
        <v>45041</v>
      </c>
      <c r="B30" s="3">
        <v>45044</v>
      </c>
      <c r="C30" s="4">
        <f t="shared" ca="1" si="3"/>
        <v>-3</v>
      </c>
      <c r="D30" s="4">
        <f t="shared" ca="1" si="2"/>
        <v>-3</v>
      </c>
      <c r="E30" s="4" t="b">
        <f t="shared" si="4"/>
        <v>0</v>
      </c>
      <c r="F30" s="5" t="s">
        <v>28</v>
      </c>
      <c r="G30" s="6">
        <f t="shared" si="7"/>
        <v>0</v>
      </c>
      <c r="H30" s="4"/>
      <c r="I30" s="7"/>
      <c r="J30" s="4"/>
      <c r="K30" s="18"/>
      <c r="L30" s="20" t="str">
        <f t="shared" ca="1" si="8"/>
        <v/>
      </c>
    </row>
    <row r="31" spans="1:12" ht="15" customHeight="1" x14ac:dyDescent="0.25">
      <c r="A31" s="11">
        <f t="shared" ca="1" si="6"/>
        <v>45041</v>
      </c>
      <c r="B31" s="3">
        <v>45045</v>
      </c>
      <c r="C31" s="4">
        <f t="shared" ca="1" si="3"/>
        <v>-4</v>
      </c>
      <c r="D31" s="4">
        <f t="shared" ca="1" si="2"/>
        <v>-4</v>
      </c>
      <c r="E31" s="4" t="b">
        <f t="shared" si="4"/>
        <v>0</v>
      </c>
      <c r="F31" s="5" t="s">
        <v>29</v>
      </c>
      <c r="G31" s="6">
        <f t="shared" si="7"/>
        <v>0</v>
      </c>
      <c r="H31" s="4"/>
      <c r="I31" s="7"/>
      <c r="J31" s="4"/>
      <c r="K31" s="18"/>
      <c r="L31" s="20" t="str">
        <f t="shared" ca="1" si="8"/>
        <v/>
      </c>
    </row>
    <row r="32" spans="1:12" ht="15" customHeight="1" x14ac:dyDescent="0.25">
      <c r="A32" s="11">
        <f t="shared" ca="1" si="6"/>
        <v>45041</v>
      </c>
      <c r="B32" s="3">
        <v>45046</v>
      </c>
      <c r="C32" s="4">
        <f t="shared" ca="1" si="3"/>
        <v>-5</v>
      </c>
      <c r="D32" s="4">
        <f t="shared" ca="1" si="2"/>
        <v>-5</v>
      </c>
      <c r="E32" s="4" t="b">
        <f t="shared" si="4"/>
        <v>0</v>
      </c>
      <c r="F32" s="5" t="s">
        <v>30</v>
      </c>
      <c r="G32" s="6">
        <f t="shared" si="7"/>
        <v>0</v>
      </c>
      <c r="H32" s="4"/>
      <c r="I32" s="7"/>
      <c r="J32" s="4"/>
      <c r="K32" s="18"/>
      <c r="L32" s="20" t="str">
        <f t="shared" ca="1" si="8"/>
        <v/>
      </c>
    </row>
    <row r="33" spans="1:12" ht="15" customHeight="1" thickBot="1" x14ac:dyDescent="0.3">
      <c r="A33" s="12">
        <f t="shared" ca="1" si="6"/>
        <v>45041</v>
      </c>
      <c r="B33" s="13">
        <v>45077</v>
      </c>
      <c r="C33" s="14">
        <f t="shared" ca="1" si="3"/>
        <v>-36</v>
      </c>
      <c r="D33" s="14">
        <f t="shared" ca="1" si="2"/>
        <v>-36</v>
      </c>
      <c r="E33" s="14" t="b">
        <f t="shared" si="4"/>
        <v>0</v>
      </c>
      <c r="F33" s="15" t="s">
        <v>31</v>
      </c>
      <c r="G33" s="16">
        <f t="shared" si="7"/>
        <v>0</v>
      </c>
      <c r="H33" s="14"/>
      <c r="I33" s="17"/>
      <c r="J33" s="14"/>
      <c r="K33" s="19"/>
      <c r="L33" s="20" t="str">
        <f t="shared" ca="1" si="8"/>
        <v/>
      </c>
    </row>
    <row r="34" spans="1:12" ht="15" thickTop="1" x14ac:dyDescent="0.25"/>
  </sheetData>
  <mergeCells count="2">
    <mergeCell ref="A1:H1"/>
    <mergeCell ref="J1:K1"/>
  </mergeCells>
  <phoneticPr fontId="2" type="noConversion"/>
  <conditionalFormatting sqref="A3:A7 A4:K33">
    <cfRule type="expression" dxfId="19" priority="3">
      <formula>$E3=TRUE</formula>
    </cfRule>
    <cfRule type="expression" dxfId="18" priority="4">
      <formula>$D3&gt;0</formula>
    </cfRule>
  </conditionalFormatting>
  <conditionalFormatting sqref="A3:A7">
    <cfRule type="expression" dxfId="17" priority="7">
      <formula>$D3&gt;0</formula>
    </cfRule>
  </conditionalFormatting>
  <conditionalFormatting sqref="A3:K3 K4:K25 G4:G33 B5 B7 B9 B11 B13 B15 B17 B19 B21 B23 B25 B27 B29 B31">
    <cfRule type="expression" dxfId="16" priority="5">
      <formula>$E3=TRUE</formula>
    </cfRule>
  </conditionalFormatting>
  <conditionalFormatting sqref="A3:K33 K4:K25 G4:G33 B5 B7 B9 B11 B13 B15 B17 B19 B21 B23 B25 B27 B29 B31">
    <cfRule type="expression" dxfId="15" priority="6">
      <formula>$D3&gt;0</formula>
    </cfRule>
  </conditionalFormatting>
  <conditionalFormatting sqref="A3:K33">
    <cfRule type="expression" dxfId="14" priority="10">
      <formula>$A3=$B3</formula>
    </cfRule>
  </conditionalFormatting>
  <conditionalFormatting sqref="L26">
    <cfRule type="expression" dxfId="13" priority="1">
      <formula>$L51="➜ Hoje"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7F2B-00FB-4305-B7EF-54B7CC5B6123}">
  <dimension ref="A1:O34"/>
  <sheetViews>
    <sheetView showGridLines="0" tabSelected="1" topLeftCell="F1" zoomScaleNormal="100" workbookViewId="0">
      <selection activeCell="Q10" sqref="Q10"/>
    </sheetView>
  </sheetViews>
  <sheetFormatPr defaultRowHeight="14.25" x14ac:dyDescent="0.25"/>
  <cols>
    <col min="1" max="1" width="10.710937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8.85546875" style="1" bestFit="1" customWidth="1"/>
    <col min="9" max="9" width="13.7109375" style="1" bestFit="1" customWidth="1"/>
    <col min="10" max="10" width="15.85546875" style="1" bestFit="1" customWidth="1"/>
    <col min="11" max="12" width="9.140625" style="1"/>
    <col min="13" max="13" width="8.28515625" style="1" bestFit="1" customWidth="1"/>
    <col min="14" max="14" width="11.85546875" style="1" bestFit="1" customWidth="1"/>
    <col min="15" max="15" width="41.28515625" style="1" bestFit="1" customWidth="1"/>
    <col min="16" max="16384" width="9.140625" style="1"/>
  </cols>
  <sheetData>
    <row r="1" spans="1:15" ht="29.25" customHeight="1" thickTop="1" x14ac:dyDescent="0.25">
      <c r="A1" s="61" t="s">
        <v>43</v>
      </c>
      <c r="B1" s="62"/>
      <c r="C1" s="62"/>
      <c r="D1" s="62"/>
      <c r="E1" s="62"/>
      <c r="F1" s="63"/>
      <c r="G1" s="63"/>
      <c r="H1" s="64"/>
      <c r="I1" s="32" t="s">
        <v>0</v>
      </c>
      <c r="J1" s="60" t="s">
        <v>40</v>
      </c>
      <c r="K1" s="60"/>
      <c r="M1" s="65" t="s">
        <v>72</v>
      </c>
      <c r="N1" s="66"/>
      <c r="O1" s="66"/>
    </row>
    <row r="2" spans="1:15" ht="21.75" customHeight="1" x14ac:dyDescent="0.25">
      <c r="A2" s="10" t="s">
        <v>37</v>
      </c>
      <c r="B2" s="2" t="s">
        <v>36</v>
      </c>
      <c r="C2" s="2" t="s">
        <v>39</v>
      </c>
      <c r="D2" s="2"/>
      <c r="E2" s="22"/>
      <c r="F2" s="28"/>
      <c r="G2" s="29" t="s">
        <v>49</v>
      </c>
      <c r="H2" s="30" t="s">
        <v>32</v>
      </c>
      <c r="I2" s="29" t="s">
        <v>33</v>
      </c>
      <c r="J2" s="31" t="s">
        <v>34</v>
      </c>
      <c r="K2" s="29" t="s">
        <v>35</v>
      </c>
      <c r="M2" s="34" t="str">
        <f>F33</f>
        <v>Dia 31</v>
      </c>
      <c r="N2" s="35">
        <f>G33</f>
        <v>282.55</v>
      </c>
      <c r="O2" s="36" t="s">
        <v>71</v>
      </c>
    </row>
    <row r="3" spans="1:15" ht="15" customHeight="1" x14ac:dyDescent="0.25">
      <c r="A3" s="11">
        <f t="shared" ref="A3:A33" ca="1" si="0">TODAY()</f>
        <v>45041</v>
      </c>
      <c r="B3" s="3">
        <v>45047</v>
      </c>
      <c r="C3" s="4">
        <f ca="1">A3-B3</f>
        <v>-6</v>
      </c>
      <c r="D3" s="4">
        <f ca="1">C3+K3</f>
        <v>-6</v>
      </c>
      <c r="E3" s="4" t="b">
        <f>IF(10,K3="ok",0)</f>
        <v>0</v>
      </c>
      <c r="F3" s="43" t="s">
        <v>1</v>
      </c>
      <c r="G3" s="44">
        <f>Abril!G33</f>
        <v>0</v>
      </c>
      <c r="H3" s="45"/>
      <c r="I3" s="46"/>
      <c r="J3" s="45"/>
      <c r="K3" s="47"/>
      <c r="L3" s="20" t="str">
        <f t="shared" ref="L3:L24" ca="1" si="1">IF(A3=B3,"➜ Hoje","")</f>
        <v/>
      </c>
      <c r="M3" s="40"/>
      <c r="N3" s="41"/>
      <c r="O3" s="42"/>
    </row>
    <row r="4" spans="1:15" ht="15" customHeight="1" x14ac:dyDescent="0.25">
      <c r="A4" s="11">
        <f t="shared" ca="1" si="0"/>
        <v>45041</v>
      </c>
      <c r="B4" s="3">
        <v>45048</v>
      </c>
      <c r="C4" s="4">
        <f ca="1">A4-B4</f>
        <v>-7</v>
      </c>
      <c r="D4" s="4">
        <f t="shared" ref="D4:D33" ca="1" si="2">C4+K4</f>
        <v>-7</v>
      </c>
      <c r="E4" s="4" t="b">
        <f>IF(10,K4="ok",0)</f>
        <v>0</v>
      </c>
      <c r="F4" s="43" t="s">
        <v>2</v>
      </c>
      <c r="G4" s="44">
        <f>G3+I4</f>
        <v>0</v>
      </c>
      <c r="H4" s="45"/>
      <c r="I4" s="46"/>
      <c r="J4" s="45"/>
      <c r="K4" s="47"/>
      <c r="L4" s="20" t="str">
        <f t="shared" ca="1" si="1"/>
        <v/>
      </c>
      <c r="M4" s="40"/>
      <c r="N4" s="41"/>
      <c r="O4" s="42"/>
    </row>
    <row r="5" spans="1:15" ht="15" customHeight="1" x14ac:dyDescent="0.25">
      <c r="A5" s="11">
        <f t="shared" ca="1" si="0"/>
        <v>45041</v>
      </c>
      <c r="B5" s="3">
        <v>45049</v>
      </c>
      <c r="C5" s="4">
        <f t="shared" ref="C5:C33" ca="1" si="3">A5-B5</f>
        <v>-8</v>
      </c>
      <c r="D5" s="4">
        <f t="shared" ca="1" si="2"/>
        <v>-8</v>
      </c>
      <c r="E5" s="4" t="b">
        <f t="shared" ref="E5:E33" si="4">IF(10,K5="ok",0)</f>
        <v>0</v>
      </c>
      <c r="F5" s="43" t="s">
        <v>3</v>
      </c>
      <c r="G5" s="44">
        <f>G4+I5</f>
        <v>0</v>
      </c>
      <c r="H5" s="45"/>
      <c r="I5" s="46"/>
      <c r="J5" s="45"/>
      <c r="K5" s="47"/>
      <c r="L5" s="20" t="str">
        <f t="shared" ca="1" si="1"/>
        <v/>
      </c>
      <c r="M5" s="40"/>
      <c r="N5" s="41"/>
      <c r="O5" s="42"/>
    </row>
    <row r="6" spans="1:15" ht="15" customHeight="1" x14ac:dyDescent="0.25">
      <c r="A6" s="11">
        <f t="shared" ca="1" si="0"/>
        <v>45041</v>
      </c>
      <c r="B6" s="3">
        <v>45050</v>
      </c>
      <c r="C6" s="4">
        <f t="shared" ca="1" si="3"/>
        <v>-9</v>
      </c>
      <c r="D6" s="4">
        <f t="shared" ca="1" si="2"/>
        <v>-9</v>
      </c>
      <c r="E6" s="4" t="b">
        <f t="shared" si="4"/>
        <v>0</v>
      </c>
      <c r="F6" s="43" t="s">
        <v>4</v>
      </c>
      <c r="G6" s="44">
        <f t="shared" ref="G6:G7" si="5">G5+I6</f>
        <v>-180</v>
      </c>
      <c r="H6" s="45" t="s">
        <v>55</v>
      </c>
      <c r="I6" s="46">
        <v>-180</v>
      </c>
      <c r="J6" s="45" t="s">
        <v>5</v>
      </c>
      <c r="K6" s="47"/>
      <c r="L6" s="20" t="str">
        <f t="shared" ca="1" si="1"/>
        <v/>
      </c>
      <c r="M6" s="40"/>
      <c r="N6" s="41"/>
      <c r="O6" s="42"/>
    </row>
    <row r="7" spans="1:15" ht="15" customHeight="1" x14ac:dyDescent="0.25">
      <c r="A7" s="11">
        <f t="shared" ca="1" si="0"/>
        <v>45041</v>
      </c>
      <c r="B7" s="3">
        <v>45051</v>
      </c>
      <c r="C7" s="4">
        <f t="shared" ca="1" si="3"/>
        <v>-10</v>
      </c>
      <c r="D7" s="4">
        <f t="shared" ca="1" si="2"/>
        <v>-10</v>
      </c>
      <c r="E7" s="4" t="b">
        <f t="shared" si="4"/>
        <v>0</v>
      </c>
      <c r="F7" s="43" t="s">
        <v>5</v>
      </c>
      <c r="G7" s="44">
        <f t="shared" si="5"/>
        <v>820</v>
      </c>
      <c r="H7" s="48" t="s">
        <v>41</v>
      </c>
      <c r="I7" s="49">
        <v>1000</v>
      </c>
      <c r="J7" s="48" t="s">
        <v>5</v>
      </c>
      <c r="K7" s="47"/>
      <c r="L7" s="20" t="str">
        <f t="shared" ca="1" si="1"/>
        <v/>
      </c>
      <c r="M7" s="40"/>
      <c r="N7" s="41"/>
      <c r="O7" s="42"/>
    </row>
    <row r="8" spans="1:15" ht="15" customHeight="1" x14ac:dyDescent="0.25">
      <c r="A8" s="11">
        <f t="shared" ca="1" si="0"/>
        <v>45041</v>
      </c>
      <c r="B8" s="3">
        <v>45052</v>
      </c>
      <c r="C8" s="4">
        <f t="shared" ca="1" si="3"/>
        <v>-11</v>
      </c>
      <c r="D8" s="4">
        <f t="shared" ca="1" si="2"/>
        <v>-11</v>
      </c>
      <c r="E8" s="4" t="b">
        <f t="shared" si="4"/>
        <v>0</v>
      </c>
      <c r="F8" s="43" t="s">
        <v>6</v>
      </c>
      <c r="G8" s="44">
        <f>G7+I8</f>
        <v>2520</v>
      </c>
      <c r="H8" s="48" t="s">
        <v>42</v>
      </c>
      <c r="I8" s="49">
        <v>1700</v>
      </c>
      <c r="J8" s="48" t="s">
        <v>6</v>
      </c>
      <c r="K8" s="47"/>
      <c r="L8" s="20" t="str">
        <f t="shared" ca="1" si="1"/>
        <v/>
      </c>
      <c r="M8" s="40"/>
      <c r="N8" s="41"/>
      <c r="O8" s="42"/>
    </row>
    <row r="9" spans="1:15" ht="15" customHeight="1" x14ac:dyDescent="0.25">
      <c r="A9" s="11">
        <f t="shared" ca="1" si="0"/>
        <v>45041</v>
      </c>
      <c r="B9" s="3">
        <v>45053</v>
      </c>
      <c r="C9" s="4">
        <f t="shared" ca="1" si="3"/>
        <v>-12</v>
      </c>
      <c r="D9" s="4">
        <f t="shared" ca="1" si="2"/>
        <v>-12</v>
      </c>
      <c r="E9" s="4" t="b">
        <f t="shared" si="4"/>
        <v>0</v>
      </c>
      <c r="F9" s="43" t="s">
        <v>7</v>
      </c>
      <c r="G9" s="44">
        <f t="shared" ref="G9:G33" si="6">G8+I9</f>
        <v>2460.4</v>
      </c>
      <c r="H9" s="45" t="s">
        <v>56</v>
      </c>
      <c r="I9" s="46">
        <v>-59.6</v>
      </c>
      <c r="J9" s="45" t="s">
        <v>6</v>
      </c>
      <c r="K9" s="47"/>
      <c r="L9" s="20" t="str">
        <f t="shared" ca="1" si="1"/>
        <v/>
      </c>
      <c r="M9" s="40"/>
      <c r="N9" s="41"/>
      <c r="O9" s="42"/>
    </row>
    <row r="10" spans="1:15" ht="15" customHeight="1" x14ac:dyDescent="0.25">
      <c r="A10" s="11">
        <f t="shared" ca="1" si="0"/>
        <v>45041</v>
      </c>
      <c r="B10" s="3">
        <v>45054</v>
      </c>
      <c r="C10" s="4">
        <f t="shared" ca="1" si="3"/>
        <v>-13</v>
      </c>
      <c r="D10" s="4">
        <f t="shared" ca="1" si="2"/>
        <v>-13</v>
      </c>
      <c r="E10" s="4" t="b">
        <f t="shared" si="4"/>
        <v>0</v>
      </c>
      <c r="F10" s="43" t="s">
        <v>8</v>
      </c>
      <c r="G10" s="44">
        <f t="shared" si="6"/>
        <v>2421.4</v>
      </c>
      <c r="H10" s="45" t="s">
        <v>51</v>
      </c>
      <c r="I10" s="46">
        <v>-39</v>
      </c>
      <c r="J10" s="45" t="s">
        <v>6</v>
      </c>
      <c r="K10" s="47"/>
      <c r="L10" s="20" t="str">
        <f t="shared" ca="1" si="1"/>
        <v/>
      </c>
      <c r="M10" s="40"/>
      <c r="N10" s="41"/>
      <c r="O10" s="42"/>
    </row>
    <row r="11" spans="1:15" ht="15" customHeight="1" thickBot="1" x14ac:dyDescent="0.3">
      <c r="A11" s="11">
        <f t="shared" ca="1" si="0"/>
        <v>45041</v>
      </c>
      <c r="B11" s="3">
        <v>45055</v>
      </c>
      <c r="C11" s="4">
        <f t="shared" ca="1" si="3"/>
        <v>-14</v>
      </c>
      <c r="D11" s="4">
        <f t="shared" ca="1" si="2"/>
        <v>-14</v>
      </c>
      <c r="E11" s="4" t="b">
        <f t="shared" si="4"/>
        <v>0</v>
      </c>
      <c r="F11" s="43" t="s">
        <v>9</v>
      </c>
      <c r="G11" s="44">
        <f t="shared" si="6"/>
        <v>2321.4</v>
      </c>
      <c r="H11" s="45" t="s">
        <v>52</v>
      </c>
      <c r="I11" s="46">
        <v>-100</v>
      </c>
      <c r="J11" s="45" t="s">
        <v>6</v>
      </c>
      <c r="K11" s="47"/>
      <c r="L11" s="20" t="str">
        <f t="shared" ca="1" si="1"/>
        <v/>
      </c>
      <c r="M11" s="40"/>
      <c r="N11" s="41"/>
      <c r="O11" s="42"/>
    </row>
    <row r="12" spans="1:15" ht="15" customHeight="1" thickTop="1" x14ac:dyDescent="0.25">
      <c r="A12" s="11">
        <f t="shared" ca="1" si="0"/>
        <v>45041</v>
      </c>
      <c r="B12" s="3">
        <v>45056</v>
      </c>
      <c r="C12" s="4">
        <f t="shared" ca="1" si="3"/>
        <v>-15</v>
      </c>
      <c r="D12" s="4">
        <f t="shared" ca="1" si="2"/>
        <v>-15</v>
      </c>
      <c r="E12" s="4" t="b">
        <f t="shared" si="4"/>
        <v>0</v>
      </c>
      <c r="F12" s="43" t="s">
        <v>10</v>
      </c>
      <c r="G12" s="44">
        <f t="shared" si="6"/>
        <v>1921.4</v>
      </c>
      <c r="H12" s="45" t="s">
        <v>53</v>
      </c>
      <c r="I12" s="46">
        <v>-400</v>
      </c>
      <c r="J12" s="45" t="s">
        <v>7</v>
      </c>
      <c r="K12" s="47"/>
      <c r="L12" s="20" t="str">
        <f t="shared" ca="1" si="1"/>
        <v/>
      </c>
      <c r="M12" s="67" t="s">
        <v>73</v>
      </c>
      <c r="N12" s="68"/>
      <c r="O12" s="68"/>
    </row>
    <row r="13" spans="1:15" ht="15" customHeight="1" x14ac:dyDescent="0.25">
      <c r="A13" s="11">
        <f t="shared" ca="1" si="0"/>
        <v>45041</v>
      </c>
      <c r="B13" s="3">
        <v>45057</v>
      </c>
      <c r="C13" s="4">
        <f t="shared" ca="1" si="3"/>
        <v>-16</v>
      </c>
      <c r="D13" s="4">
        <f t="shared" ca="1" si="2"/>
        <v>-16</v>
      </c>
      <c r="E13" s="4" t="b">
        <f t="shared" si="4"/>
        <v>0</v>
      </c>
      <c r="F13" s="43" t="s">
        <v>11</v>
      </c>
      <c r="G13" s="44">
        <f t="shared" si="6"/>
        <v>1801.4</v>
      </c>
      <c r="H13" s="45" t="s">
        <v>54</v>
      </c>
      <c r="I13" s="46">
        <v>-120</v>
      </c>
      <c r="J13" s="45" t="s">
        <v>8</v>
      </c>
      <c r="K13" s="47"/>
      <c r="L13" s="20" t="str">
        <f t="shared" ca="1" si="1"/>
        <v/>
      </c>
      <c r="M13" s="69"/>
      <c r="N13" s="70"/>
      <c r="O13" s="70"/>
    </row>
    <row r="14" spans="1:15" ht="15" customHeight="1" x14ac:dyDescent="0.25">
      <c r="A14" s="11">
        <f t="shared" ca="1" si="0"/>
        <v>45041</v>
      </c>
      <c r="B14" s="3">
        <v>45058</v>
      </c>
      <c r="C14" s="4">
        <f t="shared" ca="1" si="3"/>
        <v>-17</v>
      </c>
      <c r="D14" s="4">
        <f t="shared" ca="1" si="2"/>
        <v>-17</v>
      </c>
      <c r="E14" s="4" t="b">
        <f t="shared" si="4"/>
        <v>0</v>
      </c>
      <c r="F14" s="43" t="s">
        <v>12</v>
      </c>
      <c r="G14" s="44">
        <f t="shared" si="6"/>
        <v>1691.4</v>
      </c>
      <c r="H14" s="45" t="s">
        <v>58</v>
      </c>
      <c r="I14" s="46">
        <v>-110</v>
      </c>
      <c r="J14" s="45" t="s">
        <v>9</v>
      </c>
      <c r="K14" s="47"/>
      <c r="L14" s="20" t="str">
        <f t="shared" ca="1" si="1"/>
        <v/>
      </c>
      <c r="M14" s="40" t="s">
        <v>10</v>
      </c>
      <c r="N14" s="41">
        <v>500</v>
      </c>
      <c r="O14" s="42" t="s">
        <v>61</v>
      </c>
    </row>
    <row r="15" spans="1:15" ht="15" customHeight="1" x14ac:dyDescent="0.25">
      <c r="A15" s="11">
        <f t="shared" ca="1" si="0"/>
        <v>45041</v>
      </c>
      <c r="B15" s="3">
        <v>45059</v>
      </c>
      <c r="C15" s="4">
        <f t="shared" ca="1" si="3"/>
        <v>-18</v>
      </c>
      <c r="D15" s="4">
        <f t="shared" ca="1" si="2"/>
        <v>-18</v>
      </c>
      <c r="E15" s="4" t="b">
        <f t="shared" si="4"/>
        <v>0</v>
      </c>
      <c r="F15" s="43" t="s">
        <v>13</v>
      </c>
      <c r="G15" s="44">
        <f t="shared" si="6"/>
        <v>921.40000000000009</v>
      </c>
      <c r="H15" s="45" t="s">
        <v>57</v>
      </c>
      <c r="I15" s="46">
        <v>-770</v>
      </c>
      <c r="J15" s="45" t="s">
        <v>12</v>
      </c>
      <c r="K15" s="47"/>
      <c r="L15" s="20" t="str">
        <f t="shared" ca="1" si="1"/>
        <v/>
      </c>
      <c r="M15" s="40"/>
      <c r="N15" s="41"/>
      <c r="O15" s="42"/>
    </row>
    <row r="16" spans="1:15" ht="15" customHeight="1" x14ac:dyDescent="0.25">
      <c r="A16" s="11">
        <f t="shared" ca="1" si="0"/>
        <v>45041</v>
      </c>
      <c r="B16" s="3">
        <v>45060</v>
      </c>
      <c r="C16" s="4">
        <f t="shared" ca="1" si="3"/>
        <v>-19</v>
      </c>
      <c r="D16" s="4">
        <f t="shared" ca="1" si="2"/>
        <v>-19</v>
      </c>
      <c r="E16" s="4" t="b">
        <f t="shared" si="4"/>
        <v>0</v>
      </c>
      <c r="F16" s="43" t="s">
        <v>14</v>
      </c>
      <c r="G16" s="44">
        <f t="shared" si="6"/>
        <v>561.40000000000009</v>
      </c>
      <c r="H16" s="45" t="s">
        <v>45</v>
      </c>
      <c r="I16" s="46">
        <v>-360</v>
      </c>
      <c r="J16" s="45" t="s">
        <v>13</v>
      </c>
      <c r="K16" s="47"/>
      <c r="L16" s="20" t="str">
        <f t="shared" ca="1" si="1"/>
        <v/>
      </c>
      <c r="M16" s="40"/>
      <c r="N16" s="41"/>
      <c r="O16" s="42"/>
    </row>
    <row r="17" spans="1:15" ht="15" customHeight="1" x14ac:dyDescent="0.25">
      <c r="A17" s="11">
        <f t="shared" ca="1" si="0"/>
        <v>45041</v>
      </c>
      <c r="B17" s="3">
        <v>45061</v>
      </c>
      <c r="C17" s="4">
        <f t="shared" ca="1" si="3"/>
        <v>-20</v>
      </c>
      <c r="D17" s="4">
        <f t="shared" ca="1" si="2"/>
        <v>-20</v>
      </c>
      <c r="E17" s="4" t="b">
        <f t="shared" si="4"/>
        <v>0</v>
      </c>
      <c r="F17" s="43" t="s">
        <v>15</v>
      </c>
      <c r="G17" s="44">
        <f t="shared" si="6"/>
        <v>481.40000000000009</v>
      </c>
      <c r="H17" s="45" t="s">
        <v>60</v>
      </c>
      <c r="I17" s="46">
        <v>-80</v>
      </c>
      <c r="J17" s="45" t="s">
        <v>13</v>
      </c>
      <c r="K17" s="47"/>
      <c r="L17" s="20" t="str">
        <f t="shared" ca="1" si="1"/>
        <v/>
      </c>
      <c r="M17" s="40"/>
      <c r="N17" s="41"/>
      <c r="O17" s="42"/>
    </row>
    <row r="18" spans="1:15" ht="15" customHeight="1" x14ac:dyDescent="0.25">
      <c r="A18" s="11">
        <f t="shared" ca="1" si="0"/>
        <v>45041</v>
      </c>
      <c r="B18" s="3">
        <v>45062</v>
      </c>
      <c r="C18" s="4">
        <f t="shared" ca="1" si="3"/>
        <v>-21</v>
      </c>
      <c r="D18" s="4">
        <f t="shared" ca="1" si="2"/>
        <v>-21</v>
      </c>
      <c r="E18" s="4" t="b">
        <f t="shared" si="4"/>
        <v>0</v>
      </c>
      <c r="F18" s="43" t="s">
        <v>16</v>
      </c>
      <c r="G18" s="44">
        <f t="shared" si="6"/>
        <v>481.40000000000009</v>
      </c>
      <c r="H18" s="48"/>
      <c r="I18" s="49"/>
      <c r="J18" s="45"/>
      <c r="K18" s="47"/>
      <c r="L18" s="20" t="str">
        <f t="shared" ca="1" si="1"/>
        <v/>
      </c>
      <c r="M18" s="40"/>
      <c r="N18" s="41"/>
      <c r="O18" s="42"/>
    </row>
    <row r="19" spans="1:15" ht="15" customHeight="1" x14ac:dyDescent="0.25">
      <c r="A19" s="11">
        <f t="shared" ca="1" si="0"/>
        <v>45041</v>
      </c>
      <c r="B19" s="3">
        <v>45063</v>
      </c>
      <c r="C19" s="4">
        <f t="shared" ca="1" si="3"/>
        <v>-22</v>
      </c>
      <c r="D19" s="4">
        <f t="shared" ca="1" si="2"/>
        <v>-22</v>
      </c>
      <c r="E19" s="4" t="b">
        <f t="shared" si="4"/>
        <v>0</v>
      </c>
      <c r="F19" s="43" t="s">
        <v>17</v>
      </c>
      <c r="G19" s="44">
        <f t="shared" si="6"/>
        <v>441.40000000000009</v>
      </c>
      <c r="H19" s="45" t="s">
        <v>62</v>
      </c>
      <c r="I19" s="46">
        <v>-40</v>
      </c>
      <c r="J19" s="45" t="s">
        <v>17</v>
      </c>
      <c r="K19" s="47"/>
      <c r="L19" s="20" t="str">
        <f t="shared" ca="1" si="1"/>
        <v/>
      </c>
      <c r="M19" s="40" t="s">
        <v>15</v>
      </c>
      <c r="N19" s="41">
        <v>140</v>
      </c>
      <c r="O19" s="42" t="s">
        <v>44</v>
      </c>
    </row>
    <row r="20" spans="1:15" ht="15" customHeight="1" thickBot="1" x14ac:dyDescent="0.3">
      <c r="A20" s="11">
        <f t="shared" ca="1" si="0"/>
        <v>45041</v>
      </c>
      <c r="B20" s="3">
        <v>45064</v>
      </c>
      <c r="C20" s="4">
        <f t="shared" ca="1" si="3"/>
        <v>-23</v>
      </c>
      <c r="D20" s="4">
        <f t="shared" ca="1" si="2"/>
        <v>-23</v>
      </c>
      <c r="E20" s="4" t="b">
        <f t="shared" si="4"/>
        <v>0</v>
      </c>
      <c r="F20" s="43" t="s">
        <v>18</v>
      </c>
      <c r="G20" s="44">
        <f t="shared" si="6"/>
        <v>441.40000000000009</v>
      </c>
      <c r="H20" s="45"/>
      <c r="I20" s="46"/>
      <c r="J20" s="45"/>
      <c r="K20" s="47"/>
      <c r="L20" s="20" t="str">
        <f t="shared" ca="1" si="1"/>
        <v/>
      </c>
      <c r="M20" s="37"/>
      <c r="N20" s="38"/>
      <c r="O20" s="39"/>
    </row>
    <row r="21" spans="1:15" ht="15" customHeight="1" x14ac:dyDescent="0.25">
      <c r="A21" s="11">
        <f t="shared" ca="1" si="0"/>
        <v>45041</v>
      </c>
      <c r="B21" s="3">
        <v>45065</v>
      </c>
      <c r="C21" s="4">
        <f t="shared" ca="1" si="3"/>
        <v>-24</v>
      </c>
      <c r="D21" s="4">
        <f t="shared" ca="1" si="2"/>
        <v>-24</v>
      </c>
      <c r="E21" s="4" t="b">
        <f t="shared" si="4"/>
        <v>0</v>
      </c>
      <c r="F21" s="43" t="s">
        <v>19</v>
      </c>
      <c r="G21" s="44">
        <f t="shared" si="6"/>
        <v>391.40000000000009</v>
      </c>
      <c r="H21" s="45" t="s">
        <v>63</v>
      </c>
      <c r="I21" s="46">
        <v>-50</v>
      </c>
      <c r="J21" s="45" t="s">
        <v>19</v>
      </c>
      <c r="K21" s="47"/>
      <c r="L21" s="20" t="str">
        <f t="shared" ca="1" si="1"/>
        <v/>
      </c>
    </row>
    <row r="22" spans="1:15" ht="15" customHeight="1" x14ac:dyDescent="0.25">
      <c r="A22" s="11">
        <f t="shared" ca="1" si="0"/>
        <v>45041</v>
      </c>
      <c r="B22" s="3">
        <v>45066</v>
      </c>
      <c r="C22" s="4">
        <f t="shared" ca="1" si="3"/>
        <v>-25</v>
      </c>
      <c r="D22" s="4">
        <f t="shared" ca="1" si="2"/>
        <v>-25</v>
      </c>
      <c r="E22" s="4" t="b">
        <f t="shared" si="4"/>
        <v>0</v>
      </c>
      <c r="F22" s="50" t="s">
        <v>20</v>
      </c>
      <c r="G22" s="44">
        <f t="shared" si="6"/>
        <v>1391.4</v>
      </c>
      <c r="H22" s="48" t="s">
        <v>41</v>
      </c>
      <c r="I22" s="49">
        <v>1000</v>
      </c>
      <c r="J22" s="48" t="s">
        <v>20</v>
      </c>
      <c r="K22" s="47"/>
      <c r="L22" s="20" t="str">
        <f t="shared" ca="1" si="1"/>
        <v/>
      </c>
    </row>
    <row r="23" spans="1:15" ht="15" customHeight="1" x14ac:dyDescent="0.25">
      <c r="A23" s="11">
        <f t="shared" ca="1" si="0"/>
        <v>45041</v>
      </c>
      <c r="B23" s="3">
        <v>45067</v>
      </c>
      <c r="C23" s="4">
        <f t="shared" ca="1" si="3"/>
        <v>-26</v>
      </c>
      <c r="D23" s="4">
        <f t="shared" ca="1" si="2"/>
        <v>-26</v>
      </c>
      <c r="E23" s="4" t="b">
        <f t="shared" si="4"/>
        <v>0</v>
      </c>
      <c r="F23" s="43" t="s">
        <v>21</v>
      </c>
      <c r="G23" s="44">
        <f t="shared" si="6"/>
        <v>1376.4</v>
      </c>
      <c r="H23" s="45" t="s">
        <v>64</v>
      </c>
      <c r="I23" s="46">
        <v>-15</v>
      </c>
      <c r="J23" s="45" t="s">
        <v>20</v>
      </c>
      <c r="K23" s="47"/>
      <c r="L23" s="20" t="str">
        <f t="shared" ca="1" si="1"/>
        <v/>
      </c>
    </row>
    <row r="24" spans="1:15" ht="15" customHeight="1" x14ac:dyDescent="0.25">
      <c r="A24" s="11">
        <f t="shared" ca="1" si="0"/>
        <v>45041</v>
      </c>
      <c r="B24" s="3">
        <v>45068</v>
      </c>
      <c r="C24" s="4">
        <f t="shared" ca="1" si="3"/>
        <v>-27</v>
      </c>
      <c r="D24" s="4">
        <f t="shared" ca="1" si="2"/>
        <v>-27</v>
      </c>
      <c r="E24" s="4" t="b">
        <f t="shared" si="4"/>
        <v>0</v>
      </c>
      <c r="F24" s="43" t="s">
        <v>22</v>
      </c>
      <c r="G24" s="44">
        <f t="shared" si="6"/>
        <v>1271.5</v>
      </c>
      <c r="H24" s="45" t="s">
        <v>65</v>
      </c>
      <c r="I24" s="46">
        <v>-104.9</v>
      </c>
      <c r="J24" s="45" t="s">
        <v>20</v>
      </c>
      <c r="K24" s="47"/>
      <c r="L24" s="20" t="str">
        <f t="shared" ca="1" si="1"/>
        <v/>
      </c>
    </row>
    <row r="25" spans="1:15" ht="15" customHeight="1" x14ac:dyDescent="0.25">
      <c r="A25" s="11">
        <f t="shared" ca="1" si="0"/>
        <v>45041</v>
      </c>
      <c r="B25" s="3">
        <v>45069</v>
      </c>
      <c r="C25" s="4">
        <f t="shared" ca="1" si="3"/>
        <v>-28</v>
      </c>
      <c r="D25" s="4">
        <f t="shared" ca="1" si="2"/>
        <v>-28</v>
      </c>
      <c r="E25" s="4" t="b">
        <f t="shared" si="4"/>
        <v>0</v>
      </c>
      <c r="F25" s="43" t="s">
        <v>23</v>
      </c>
      <c r="G25" s="44">
        <f t="shared" si="6"/>
        <v>691.5</v>
      </c>
      <c r="H25" s="45" t="s">
        <v>66</v>
      </c>
      <c r="I25" s="46">
        <v>-580</v>
      </c>
      <c r="J25" s="45" t="s">
        <v>22</v>
      </c>
      <c r="K25" s="47"/>
      <c r="L25" s="20" t="str">
        <f ca="1">IF(A25=B25,"➜ Hoje","")</f>
        <v/>
      </c>
    </row>
    <row r="26" spans="1:15" ht="15" customHeight="1" x14ac:dyDescent="0.25">
      <c r="A26" s="11">
        <f t="shared" ca="1" si="0"/>
        <v>45041</v>
      </c>
      <c r="B26" s="3">
        <v>45070</v>
      </c>
      <c r="C26" s="4">
        <f t="shared" ca="1" si="3"/>
        <v>-29</v>
      </c>
      <c r="D26" s="4">
        <f t="shared" ca="1" si="2"/>
        <v>-29</v>
      </c>
      <c r="E26" s="4" t="b">
        <f t="shared" si="4"/>
        <v>0</v>
      </c>
      <c r="F26" s="43" t="s">
        <v>24</v>
      </c>
      <c r="G26" s="44">
        <f t="shared" si="6"/>
        <v>581.5</v>
      </c>
      <c r="H26" s="45" t="s">
        <v>59</v>
      </c>
      <c r="I26" s="46">
        <v>-110</v>
      </c>
      <c r="J26" s="45" t="s">
        <v>24</v>
      </c>
      <c r="K26" s="47"/>
      <c r="L26" s="33" t="str">
        <f ca="1">IF(A26=B26,"➜ Hoje","")</f>
        <v/>
      </c>
    </row>
    <row r="27" spans="1:15" ht="15" customHeight="1" x14ac:dyDescent="0.25">
      <c r="A27" s="11">
        <f t="shared" ca="1" si="0"/>
        <v>45041</v>
      </c>
      <c r="B27" s="3">
        <v>45071</v>
      </c>
      <c r="C27" s="4">
        <f t="shared" ca="1" si="3"/>
        <v>-30</v>
      </c>
      <c r="D27" s="4">
        <f t="shared" ca="1" si="2"/>
        <v>-30</v>
      </c>
      <c r="E27" s="4" t="b">
        <f t="shared" si="4"/>
        <v>0</v>
      </c>
      <c r="F27" s="43" t="s">
        <v>25</v>
      </c>
      <c r="G27" s="44">
        <f t="shared" si="6"/>
        <v>581.5</v>
      </c>
      <c r="H27" s="45"/>
      <c r="I27" s="46"/>
      <c r="J27" s="45"/>
      <c r="K27" s="47"/>
      <c r="L27" s="20" t="str">
        <f t="shared" ref="L27:L33" ca="1" si="7">IF(A27=B27,"➜ Hoje","")</f>
        <v/>
      </c>
    </row>
    <row r="28" spans="1:15" ht="15" customHeight="1" x14ac:dyDescent="0.25">
      <c r="A28" s="11">
        <f t="shared" ca="1" si="0"/>
        <v>45041</v>
      </c>
      <c r="B28" s="3">
        <v>45072</v>
      </c>
      <c r="C28" s="4">
        <f t="shared" ca="1" si="3"/>
        <v>-31</v>
      </c>
      <c r="D28" s="4">
        <f t="shared" ca="1" si="2"/>
        <v>-31</v>
      </c>
      <c r="E28" s="4" t="b">
        <f t="shared" si="4"/>
        <v>0</v>
      </c>
      <c r="F28" s="43" t="s">
        <v>26</v>
      </c>
      <c r="G28" s="44">
        <f t="shared" si="6"/>
        <v>581.5</v>
      </c>
      <c r="H28" s="45"/>
      <c r="I28" s="46"/>
      <c r="J28" s="45"/>
      <c r="K28" s="47"/>
      <c r="L28" s="20" t="str">
        <f t="shared" ca="1" si="7"/>
        <v/>
      </c>
    </row>
    <row r="29" spans="1:15" ht="15" customHeight="1" x14ac:dyDescent="0.25">
      <c r="A29" s="11">
        <f t="shared" ca="1" si="0"/>
        <v>45041</v>
      </c>
      <c r="B29" s="3">
        <v>45073</v>
      </c>
      <c r="C29" s="4">
        <f t="shared" ca="1" si="3"/>
        <v>-32</v>
      </c>
      <c r="D29" s="4">
        <f t="shared" ca="1" si="2"/>
        <v>-32</v>
      </c>
      <c r="E29" s="4" t="b">
        <f t="shared" si="4"/>
        <v>0</v>
      </c>
      <c r="F29" s="43" t="s">
        <v>27</v>
      </c>
      <c r="G29" s="44">
        <f t="shared" si="6"/>
        <v>501.5</v>
      </c>
      <c r="H29" s="45" t="s">
        <v>67</v>
      </c>
      <c r="I29" s="46">
        <v>-80</v>
      </c>
      <c r="J29" s="45" t="s">
        <v>28</v>
      </c>
      <c r="K29" s="47"/>
      <c r="L29" s="20" t="str">
        <f t="shared" ca="1" si="7"/>
        <v/>
      </c>
    </row>
    <row r="30" spans="1:15" ht="15" customHeight="1" x14ac:dyDescent="0.25">
      <c r="A30" s="11">
        <f t="shared" ca="1" si="0"/>
        <v>45041</v>
      </c>
      <c r="B30" s="3">
        <v>45074</v>
      </c>
      <c r="C30" s="4">
        <f t="shared" ca="1" si="3"/>
        <v>-33</v>
      </c>
      <c r="D30" s="4">
        <f t="shared" ca="1" si="2"/>
        <v>-33</v>
      </c>
      <c r="E30" s="4" t="b">
        <f t="shared" si="4"/>
        <v>0</v>
      </c>
      <c r="F30" s="43" t="s">
        <v>28</v>
      </c>
      <c r="G30" s="44">
        <f t="shared" si="6"/>
        <v>456.5</v>
      </c>
      <c r="H30" s="45" t="s">
        <v>68</v>
      </c>
      <c r="I30" s="46">
        <v>-45</v>
      </c>
      <c r="J30" s="45" t="s">
        <v>28</v>
      </c>
      <c r="K30" s="47"/>
      <c r="L30" s="20" t="str">
        <f t="shared" ca="1" si="7"/>
        <v/>
      </c>
    </row>
    <row r="31" spans="1:15" ht="15" customHeight="1" x14ac:dyDescent="0.25">
      <c r="A31" s="11">
        <f t="shared" ca="1" si="0"/>
        <v>45041</v>
      </c>
      <c r="B31" s="3">
        <v>45075</v>
      </c>
      <c r="C31" s="4">
        <f t="shared" ca="1" si="3"/>
        <v>-34</v>
      </c>
      <c r="D31" s="4">
        <f t="shared" ca="1" si="2"/>
        <v>-34</v>
      </c>
      <c r="E31" s="4" t="b">
        <f t="shared" si="4"/>
        <v>0</v>
      </c>
      <c r="F31" s="43" t="s">
        <v>29</v>
      </c>
      <c r="G31" s="44">
        <f t="shared" si="6"/>
        <v>442.55</v>
      </c>
      <c r="H31" s="45" t="s">
        <v>69</v>
      </c>
      <c r="I31" s="46">
        <v>-13.95</v>
      </c>
      <c r="J31" s="45" t="s">
        <v>29</v>
      </c>
      <c r="K31" s="47"/>
      <c r="L31" s="20" t="str">
        <f t="shared" ca="1" si="7"/>
        <v/>
      </c>
    </row>
    <row r="32" spans="1:15" ht="15" customHeight="1" x14ac:dyDescent="0.25">
      <c r="A32" s="11">
        <f t="shared" ca="1" si="0"/>
        <v>45041</v>
      </c>
      <c r="B32" s="3">
        <v>45076</v>
      </c>
      <c r="C32" s="4">
        <f t="shared" ca="1" si="3"/>
        <v>-35</v>
      </c>
      <c r="D32" s="4">
        <f t="shared" ca="1" si="2"/>
        <v>-35</v>
      </c>
      <c r="E32" s="4" t="b">
        <f t="shared" si="4"/>
        <v>0</v>
      </c>
      <c r="F32" s="43" t="s">
        <v>30</v>
      </c>
      <c r="G32" s="44">
        <f t="shared" si="6"/>
        <v>282.55</v>
      </c>
      <c r="H32" s="45" t="s">
        <v>70</v>
      </c>
      <c r="I32" s="46">
        <v>-160</v>
      </c>
      <c r="J32" s="45" t="s">
        <v>30</v>
      </c>
      <c r="K32" s="47"/>
      <c r="L32" s="20" t="str">
        <f t="shared" ca="1" si="7"/>
        <v/>
      </c>
    </row>
    <row r="33" spans="1:12" ht="15" customHeight="1" thickBot="1" x14ac:dyDescent="0.3">
      <c r="A33" s="12">
        <f t="shared" ca="1" si="0"/>
        <v>45041</v>
      </c>
      <c r="B33" s="13">
        <v>45077</v>
      </c>
      <c r="C33" s="14">
        <f t="shared" ca="1" si="3"/>
        <v>-36</v>
      </c>
      <c r="D33" s="14">
        <f t="shared" ca="1" si="2"/>
        <v>-36</v>
      </c>
      <c r="E33" s="14" t="b">
        <f t="shared" si="4"/>
        <v>0</v>
      </c>
      <c r="F33" s="51" t="s">
        <v>31</v>
      </c>
      <c r="G33" s="52">
        <f t="shared" si="6"/>
        <v>282.55</v>
      </c>
      <c r="H33" s="53"/>
      <c r="I33" s="54"/>
      <c r="J33" s="53"/>
      <c r="K33" s="55"/>
      <c r="L33" s="20" t="str">
        <f t="shared" ca="1" si="7"/>
        <v/>
      </c>
    </row>
    <row r="34" spans="1:12" ht="15" thickTop="1" x14ac:dyDescent="0.25"/>
  </sheetData>
  <mergeCells count="4">
    <mergeCell ref="A1:H1"/>
    <mergeCell ref="J1:K1"/>
    <mergeCell ref="M1:O1"/>
    <mergeCell ref="M12:O13"/>
  </mergeCells>
  <conditionalFormatting sqref="A3:A33 B4:K33">
    <cfRule type="expression" dxfId="12" priority="78">
      <formula>$E3=TRUE</formula>
    </cfRule>
    <cfRule type="expression" dxfId="11" priority="79">
      <formula>$D3&gt;0</formula>
    </cfRule>
  </conditionalFormatting>
  <conditionalFormatting sqref="A3:A33">
    <cfRule type="expression" dxfId="10" priority="82">
      <formula>$D3&gt;0</formula>
    </cfRule>
  </conditionalFormatting>
  <conditionalFormatting sqref="A3:K3 B4:K33">
    <cfRule type="expression" dxfId="9" priority="81">
      <formula>$D3&gt;0</formula>
    </cfRule>
  </conditionalFormatting>
  <conditionalFormatting sqref="A3:K3 G4:G33">
    <cfRule type="expression" dxfId="8" priority="80">
      <formula>$E3=TRUE</formula>
    </cfRule>
  </conditionalFormatting>
  <conditionalFormatting sqref="A3:K33">
    <cfRule type="expression" dxfId="7" priority="83">
      <formula>$A3=$B3</formula>
    </cfRule>
  </conditionalFormatting>
  <conditionalFormatting sqref="I1:I1048576">
    <cfRule type="dataBar" priority="57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{40E2FD70-7664-43C5-9E68-0436A342E411}</x14:id>
        </ext>
      </extLst>
    </cfRule>
  </conditionalFormatting>
  <conditionalFormatting sqref="L26">
    <cfRule type="expression" dxfId="6" priority="77">
      <formula>$L51="➜ Hoje"</formula>
    </cfRule>
  </conditionalFormatting>
  <conditionalFormatting sqref="M3:O11">
    <cfRule type="expression" dxfId="5" priority="1">
      <formula>$E3=TRUE</formula>
    </cfRule>
    <cfRule type="expression" dxfId="4" priority="2">
      <formula>$D3&gt;0</formula>
    </cfRule>
    <cfRule type="expression" dxfId="3" priority="4">
      <formula>$A3=$B3</formula>
    </cfRule>
  </conditionalFormatting>
  <conditionalFormatting sqref="M14:O19">
    <cfRule type="expression" dxfId="2" priority="41">
      <formula>$E14=TRUE</formula>
    </cfRule>
    <cfRule type="expression" dxfId="1" priority="42">
      <formula>$D14&gt;0</formula>
    </cfRule>
    <cfRule type="expression" dxfId="0" priority="44">
      <formula>$A14=$B14</formula>
    </cfRule>
  </conditionalFormatting>
  <pageMargins left="0.511811024" right="0.511811024" top="0.78740157499999996" bottom="0.78740157499999996" header="0.31496062000000002" footer="0.31496062000000002"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2FD70-7664-43C5-9E68-0436A342E41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Abril</vt:lpstr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Káic Vicente</cp:lastModifiedBy>
  <dcterms:created xsi:type="dcterms:W3CDTF">2023-04-24T12:41:56Z</dcterms:created>
  <dcterms:modified xsi:type="dcterms:W3CDTF">2023-04-26T00:08:35Z</dcterms:modified>
</cp:coreProperties>
</file>