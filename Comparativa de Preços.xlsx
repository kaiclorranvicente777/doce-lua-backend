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360" documentId="7_{FEDAC5A0-AFEF-AA4A-9459-319E3F462B81}" xr6:coauthVersionLast="47" xr6:coauthVersionMax="47" xr10:uidLastSave="{1406C632-17E6-E349-B176-D1C6ACBF0991}"/>
  <bookViews>
    <workbookView xWindow="-120" yWindow="-120" windowWidth="20730" windowHeight="1116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G21" i="1"/>
  <c r="C19" i="1"/>
  <c r="F20" i="1"/>
  <c r="G19" i="1"/>
  <c r="C15" i="1" a="1"/>
  <c r="C15" i="1"/>
  <c r="E19" i="1"/>
  <c r="F19" i="1"/>
  <c r="G20" i="1"/>
  <c r="E20" i="1"/>
  <c r="E15" i="1" a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<sst xmlns="http://schemas.openxmlformats.org/spreadsheetml/2006/main" count="20" uniqueCount="14">
  <si>
    <t>Produto 1</t>
  </si>
  <si>
    <t>Quantidade:</t>
  </si>
  <si>
    <t>Preço:</t>
  </si>
  <si>
    <t>Produto 2</t>
  </si>
  <si>
    <t>Resultado:</t>
  </si>
  <si>
    <t>Mais barato:</t>
  </si>
  <si>
    <t>(Valor unitário do produto)</t>
  </si>
  <si>
    <t>Medida em Kg, Ml, Unid. etc..</t>
  </si>
  <si>
    <t xml:space="preserve">Calculadora comparativa de preços </t>
  </si>
  <si>
    <t>valor por unidade medida</t>
  </si>
  <si>
    <t>diferença unidade medida</t>
  </si>
  <si>
    <t>calculo comprando unidade pela quantidade do outro produto</t>
  </si>
  <si>
    <t>Diferença de preço igualando quantidade</t>
  </si>
  <si>
    <t>Descrever apenas nas celulas de cor verde!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</si>
</sst>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gency FB"/>
      <family val="34"/>
    </font>
    <font>
      <sz val="10"/>
      <color theme="1"/>
      <name val="Agency FB"/>
      <family val="34"/>
    </font>
    <font>
      <sz val="9"/>
      <color theme="1"/>
      <name val="Agency FB"/>
      <family val="34"/>
    </font>
    <font>
      <sz val="6"/>
      <name val="Yu Gothic"/>
      <family val="2"/>
      <charset val="128"/>
    </font>
    <font>
      <b/>
      <sz val="11"/>
      <color theme="1"/>
      <name val="Agency FB"/>
      <family val="34"/>
    </font>
    <font>
      <b/>
      <sz val="16"/>
      <color theme="1"/>
      <name val="Agency FB"/>
      <family val="34"/>
    </font>
    <font>
      <b/>
      <sz val="11"/>
      <color theme="0"/>
      <name val="Agency FB"/>
      <family val="34"/>
    </font>
    <font>
      <u/>
      <sz val="11"/>
      <color theme="7"/>
      <name val="Agency FB"/>
      <family val="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medium">
        <color rgb="FF50505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164" fontId="1" fillId="0" borderId="5" xfId="0" applyNumberFormat="1" applyFont="1" applyBorder="1"/>
    <xf numFmtId="0" fontId="1" fillId="0" borderId="6" xfId="0" applyFont="1" applyBorder="1"/>
    <xf numFmtId="0" fontId="1" fillId="0" borderId="8" xfId="0" applyFont="1" applyBorder="1"/>
    <xf numFmtId="164" fontId="1" fillId="4" borderId="10" xfId="0" applyNumberFormat="1" applyFont="1" applyFill="1" applyBorder="1"/>
    <xf numFmtId="0" fontId="1" fillId="4" borderId="7" xfId="0" applyFont="1" applyFill="1" applyBorder="1"/>
    <xf numFmtId="0" fontId="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4C92-BF42-5543-AEFE-239536CECB04}">
  <dimension ref="B1:G22"/>
  <sheetViews>
    <sheetView tabSelected="1" zoomScaleNormal="60" zoomScaleSheetLayoutView="100" workbookViewId="0">
      <selection activeCell="D11" sqref="D11"/>
    </sheetView>
  </sheetViews>
  <sheetFormatPr defaultColWidth="8.609375" defaultRowHeight="14.25" x14ac:dyDescent="0.15"/>
  <cols>
    <col min="1" max="1" width="2.95703125" style="1" customWidth="1"/>
    <col min="2" max="2" width="3.09375" style="1" customWidth="1"/>
    <col min="3" max="3" width="11.703125" style="1" customWidth="1"/>
    <col min="4" max="6" width="8.609375" style="1"/>
    <col min="7" max="7" width="4.03515625" style="1" customWidth="1"/>
    <col min="8" max="16384" width="8.609375" style="1"/>
  </cols>
  <sheetData>
    <row r="1" spans="2:7" ht="15" thickBot="1" x14ac:dyDescent="0.2"/>
    <row r="2" spans="2:7" x14ac:dyDescent="0.15">
      <c r="B2" s="4"/>
      <c r="C2" s="5"/>
      <c r="D2" s="5"/>
      <c r="E2" s="5"/>
      <c r="F2" s="5"/>
      <c r="G2" s="6"/>
    </row>
    <row r="3" spans="2:7" ht="28.5" customHeight="1" x14ac:dyDescent="0.15">
      <c r="B3" s="7"/>
      <c r="C3" s="21" t="s">
        <v>8</v>
      </c>
      <c r="D3" s="21"/>
      <c r="E3" s="21"/>
      <c r="F3" s="21"/>
      <c r="G3" s="8"/>
    </row>
    <row r="4" spans="2:7" ht="15" thickBot="1" x14ac:dyDescent="0.2">
      <c r="B4" s="7"/>
      <c r="G4" s="8"/>
    </row>
    <row r="5" spans="2:7" x14ac:dyDescent="0.15">
      <c r="B5" s="7"/>
      <c r="C5" s="26" t="s">
        <v>0</v>
      </c>
      <c r="D5" s="27"/>
      <c r="E5" s="27"/>
      <c r="F5" s="28"/>
      <c r="G5" s="8"/>
    </row>
    <row r="6" spans="2:7" x14ac:dyDescent="0.15">
      <c r="B6" s="7"/>
      <c r="C6" s="2" t="s">
        <v>2</v>
      </c>
      <c r="D6" s="19">
        <v>169.9</v>
      </c>
      <c r="E6" s="37" t="s">
        <v>6</v>
      </c>
      <c r="F6" s="38"/>
      <c r="G6" s="8"/>
    </row>
    <row r="7" spans="2:7" ht="15" thickBot="1" x14ac:dyDescent="0.2">
      <c r="B7" s="7"/>
      <c r="C7" s="3" t="s">
        <v>1</v>
      </c>
      <c r="D7" s="20">
        <v>15</v>
      </c>
      <c r="E7" s="39" t="s">
        <v>7</v>
      </c>
      <c r="F7" s="40"/>
      <c r="G7" s="8"/>
    </row>
    <row r="8" spans="2:7" ht="15" thickBot="1" x14ac:dyDescent="0.2">
      <c r="B8" s="7"/>
      <c r="D8" s="9"/>
      <c r="G8" s="8"/>
    </row>
    <row r="9" spans="2:7" x14ac:dyDescent="0.15">
      <c r="B9" s="7"/>
      <c r="C9" s="41" t="s">
        <v>3</v>
      </c>
      <c r="D9" s="42"/>
      <c r="E9" s="42"/>
      <c r="F9" s="43"/>
      <c r="G9" s="8"/>
    </row>
    <row r="10" spans="2:7" x14ac:dyDescent="0.15">
      <c r="B10" s="7"/>
      <c r="C10" s="2" t="s">
        <v>2</v>
      </c>
      <c r="D10" s="19">
        <v>190</v>
      </c>
      <c r="E10" s="37" t="s">
        <v>6</v>
      </c>
      <c r="F10" s="38"/>
      <c r="G10" s="8"/>
    </row>
    <row r="11" spans="2:7" ht="15" thickBot="1" x14ac:dyDescent="0.2">
      <c r="B11" s="7"/>
      <c r="C11" s="3" t="s">
        <v>1</v>
      </c>
      <c r="D11" s="20">
        <v>18</v>
      </c>
      <c r="E11" s="39" t="s">
        <v>7</v>
      </c>
      <c r="F11" s="40"/>
      <c r="G11" s="8"/>
    </row>
    <row r="12" spans="2:7" ht="15" thickBot="1" x14ac:dyDescent="0.2">
      <c r="B12" s="7"/>
      <c r="G12" s="8"/>
    </row>
    <row r="13" spans="2:7" x14ac:dyDescent="0.15">
      <c r="B13" s="7"/>
      <c r="C13" s="44" t="s">
        <v>4</v>
      </c>
      <c r="D13" s="45"/>
      <c r="E13" s="45"/>
      <c r="F13" s="46"/>
      <c r="G13" s="8"/>
    </row>
    <row r="14" spans="2:7" ht="31.5" customHeight="1" x14ac:dyDescent="0.15">
      <c r="B14" s="7"/>
      <c r="C14" s="22" t="s">
        <v>5</v>
      </c>
      <c r="D14" s="23"/>
      <c r="E14" s="24" t="s">
        <v>12</v>
      </c>
      <c r="F14" s="25"/>
      <c r="G14" s="8"/>
    </row>
    <row r="15" spans="2:7" x14ac:dyDescent="0.15">
      <c r="B15" s="7"/>
      <c r="C15" s="30" t="str" cm="1">
        <f t="array" ref="C15">IFERROR(_xlfn.IFS(C19&gt;C20,D20,C19&lt;C20,D19),"Valores iguais!")</f>
        <v>Produto 2</v>
      </c>
      <c r="D15" s="21"/>
      <c r="E15" s="33" cm="1">
        <f t="array" ref="E15">IFERROR(_xlfn.IFS(C15=D19,G19,C15=D20,G20),"R$0,00!")</f>
        <v>13.879999999999995</v>
      </c>
      <c r="F15" s="34"/>
      <c r="G15" s="8"/>
    </row>
    <row r="16" spans="2:7" ht="15" thickBot="1" x14ac:dyDescent="0.2">
      <c r="B16" s="7"/>
      <c r="C16" s="31"/>
      <c r="D16" s="32"/>
      <c r="E16" s="35"/>
      <c r="F16" s="36"/>
      <c r="G16" s="8"/>
    </row>
    <row r="17" spans="2:7" x14ac:dyDescent="0.15">
      <c r="B17" s="7"/>
      <c r="G17" s="8"/>
    </row>
    <row r="18" spans="2:7" ht="61.5" hidden="1" customHeight="1" x14ac:dyDescent="0.15">
      <c r="B18" s="7"/>
      <c r="C18" s="10" t="s">
        <v>9</v>
      </c>
      <c r="D18" s="10"/>
      <c r="E18" s="11" t="s">
        <v>10</v>
      </c>
      <c r="F18" s="10" t="s">
        <v>11</v>
      </c>
      <c r="G18" s="12"/>
    </row>
    <row r="19" spans="2:7" hidden="1" x14ac:dyDescent="0.15">
      <c r="B19" s="7"/>
      <c r="C19" s="13">
        <f>D6/D7</f>
        <v>11.326666666666666</v>
      </c>
      <c r="D19" s="14" t="s">
        <v>0</v>
      </c>
      <c r="E19" s="13">
        <f>C19-C20</f>
        <v>0.77111111111111086</v>
      </c>
      <c r="F19" s="15">
        <f>C19*D11</f>
        <v>203.88</v>
      </c>
      <c r="G19" s="16">
        <f>F20-D6</f>
        <v>-11.566666666666663</v>
      </c>
    </row>
    <row r="20" spans="2:7" hidden="1" x14ac:dyDescent="0.15">
      <c r="B20" s="7"/>
      <c r="C20" s="13">
        <f>D10/D11</f>
        <v>10.555555555555555</v>
      </c>
      <c r="D20" s="14" t="s">
        <v>3</v>
      </c>
      <c r="E20" s="13">
        <f>C20-C19</f>
        <v>-0.77111111111111086</v>
      </c>
      <c r="F20" s="15">
        <f>C20*D7</f>
        <v>158.33333333333334</v>
      </c>
      <c r="G20" s="16">
        <f>F19-D10</f>
        <v>13.879999999999995</v>
      </c>
    </row>
    <row r="21" spans="2:7" hidden="1" x14ac:dyDescent="0.15">
      <c r="B21" s="7"/>
      <c r="G21" s="16">
        <f>C20*D7</f>
        <v>158.33333333333334</v>
      </c>
    </row>
    <row r="22" spans="2:7" ht="15.75" customHeight="1" thickBot="1" x14ac:dyDescent="0.2">
      <c r="B22" s="17"/>
      <c r="C22" s="29" t="s">
        <v>13</v>
      </c>
      <c r="D22" s="29"/>
      <c r="E22" s="29"/>
      <c r="F22" s="29"/>
      <c r="G22" s="18"/>
    </row>
  </sheetData>
  <mergeCells count="13">
    <mergeCell ref="C3:F3"/>
    <mergeCell ref="C14:D14"/>
    <mergeCell ref="E14:F14"/>
    <mergeCell ref="C5:F5"/>
    <mergeCell ref="C22:F22"/>
    <mergeCell ref="C15:D16"/>
    <mergeCell ref="E15:F16"/>
    <mergeCell ref="E6:F6"/>
    <mergeCell ref="E7:F7"/>
    <mergeCell ref="C9:F9"/>
    <mergeCell ref="C13:F13"/>
    <mergeCell ref="E11:F11"/>
    <mergeCell ref="E10:F10"/>
  </mergeCells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cp:lastModifiedBy>Káic Lorran Vicente Prudencio</cp:lastModifiedBy>
  <dcterms:created xsi:type="dcterms:W3CDTF">2023-10-17T14:47:41Z</dcterms:created>
  <dcterms:modified xsi:type="dcterms:W3CDTF">2024-12-01T21:01:30Z</dcterms:modified>
</cp:coreProperties>
</file>