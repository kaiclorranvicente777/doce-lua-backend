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Folha1" r:id="rId1" sheetId="1"/>
  </sheets>
  <extLst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<sst xmlns="http://schemas.openxmlformats.org/spreadsheetml/2006/main" count="58" uniqueCount="58">
  <si>
    <t>Calculadora de Recheios - Bolos Confeitados - Doce Lua</t>
  </si>
  <si>
    <t>Meta Peso Bolo Total:</t>
  </si>
  <si>
    <t>Categoria Finalização do Bolo:</t>
  </si>
  <si>
    <t>Bolo Confeitado Chantininho</t>
  </si>
  <si>
    <t>Tradicional/Mousses com Ganache</t>
  </si>
  <si>
    <t>Quando Frutado:</t>
  </si>
  <si>
    <t>gr.</t>
  </si>
  <si>
    <t>90gr.</t>
  </si>
  <si>
    <t xml:space="preserve"> de </t>
  </si>
  <si>
    <t>90gr. de Fruta</t>
  </si>
  <si>
    <t>Chantininho:</t>
  </si>
  <si>
    <t>225ml</t>
  </si>
  <si>
    <t>Especiais/Gourmet</t>
  </si>
  <si>
    <t>Quando Chocolate especial:</t>
  </si>
  <si>
    <t>75gr.</t>
  </si>
  <si>
    <t>75gr. de Chocolate Especial</t>
  </si>
  <si>
    <t>Informações Massa</t>
  </si>
  <si>
    <t>Frutado</t>
  </si>
  <si>
    <t>Kg. Massa Necessária:</t>
  </si>
  <si>
    <t>Informações Recheio</t>
  </si>
  <si>
    <t>Chocolate Especial</t>
  </si>
  <si>
    <t>Kg. Massa Disponível:</t>
  </si>
  <si>
    <t>Categoria do Recheio:</t>
  </si>
  <si>
    <t>20gr.</t>
  </si>
  <si>
    <t/>
  </si>
  <si>
    <t>Kg. Compensação Necessária:</t>
  </si>
  <si>
    <t xml:space="preserve">Recheio Necessário Total </t>
  </si>
  <si>
    <t>Compensação Hidratação:</t>
  </si>
  <si>
    <t>7,5ml</t>
  </si>
  <si>
    <t>Recheio Necessário Total + Compensação</t>
  </si>
  <si>
    <t>+ Compensação</t>
  </si>
  <si>
    <t>Informações Hidratação</t>
  </si>
  <si>
    <t>Categoria sabor:</t>
  </si>
  <si>
    <t>Hidratação Necessária:</t>
  </si>
  <si>
    <t>217,5ml</t>
  </si>
  <si>
    <t>Repartição em 2 Camadas:</t>
  </si>
  <si>
    <t>repartiçao 2 camadas recheio base:</t>
  </si>
  <si>
    <t>Repartição em 3 Camadas:</t>
  </si>
  <si>
    <t>72,5ml</t>
  </si>
  <si>
    <t>Ninho / Brigadeiro</t>
  </si>
  <si>
    <t>Quantidade Quando Frutado:</t>
  </si>
  <si>
    <t>148,75 gr. de Ninho / Brigadeiro</t>
  </si>
  <si>
    <t>Quantidade Quando Chocolate especial:</t>
  </si>
  <si>
    <t>163,75 gr. de Ninho / Brigadeiro</t>
  </si>
  <si>
    <t>Fruta</t>
  </si>
  <si>
    <t>180 gr. de Fruta</t>
  </si>
  <si>
    <t>150 gr. de Chocolate Especial</t>
  </si>
  <si>
    <t xml:space="preserve">Quantidade de </t>
  </si>
  <si>
    <t>Quantidade de Fruta:</t>
  </si>
  <si>
    <t>238</t>
  </si>
  <si>
    <t>Quantidade de Chocolate Especial:</t>
  </si>
  <si>
    <t>ml</t>
  </si>
  <si>
    <t>Meta peso bolo atual</t>
  </si>
  <si>
    <t>Massa disponível:</t>
  </si>
  <si>
    <t>Hidratação total bolo seco = 1/3 total</t>
  </si>
  <si>
    <t>sobra:</t>
  </si>
  <si>
    <t>Chantininho</t>
  </si>
  <si>
    <t>225</t>
  </si>
</sst>
</file>

<file path=xl/styles.xml><?xml version="1.0" encoding="utf-8"?>
<styleSheet xmlns="http://schemas.openxmlformats.org/spreadsheetml/2006/main">
  <fonts count="10">
    <font>
      <sz val="10"/>
      <color rgb="FF000000"/>
      <name val="Roboto"/>
    </font>
    <font>
      <sz val="10"/>
      <name val="Roboto"/>
    </font>
    <font>
      <sz val="10"/>
      <name val="Roboto"/>
    </font>
    <font>
      <b/>
      <sz val="16"/>
      <color rgb="FF3498DB"/>
      <name val="Georgia"/>
    </font>
    <font>
      <b/>
      <sz val="16"/>
      <color rgb="FFFFFFFF"/>
      <name val="Times New Roman"/>
    </font>
    <font>
      <sz val="10"/>
      <color rgb="FF3498DB"/>
      <name val="Roboto"/>
    </font>
    <font>
      <b/>
      <sz val="10"/>
      <name val="Roboto"/>
    </font>
    <font>
      <sz val="10"/>
      <name val="Roboto"/>
    </font>
    <font>
      <sz val="10"/>
      <color rgb="FF5883DA"/>
      <name val="Roboto"/>
    </font>
    <font>
      <sz val="8"/>
      <name val="Roboto"/>
    </font>
  </fonts>
  <fills count="5">
    <fill>
      <patternFill patternType="none"/>
    </fill>
    <fill>
      <patternFill patternType="gray125"/>
    </fill>
    <fill>
      <patternFill patternType="solid">
        <fgColor rgb="FF144D73"/>
        <bgColor rgb="FF144D73"/>
      </patternFill>
    </fill>
    <fill>
      <patternFill patternType="solid">
        <fgColor rgb="FF763E8D"/>
        <bgColor rgb="FF763E8D"/>
      </patternFill>
    </fill>
    <fill>
      <patternFill patternType="solid">
        <fgColor rgb="FFAAECC6"/>
        <bgColor rgb="FFAAECC6"/>
      </patternFill>
    </fill>
  </fills>
  <borders count="23">
    <border>
      <left/>
      <right/>
      <top/>
      <bottom/>
      <diagonal/>
    </border>
    <border>
      <left style="thick">
        <color rgb="FFFFFFFF"/>
      </left>
      <right/>
      <top style="thick">
        <color rgb="FFFFFFFF"/>
      </top>
      <bottom/>
      <diagonal/>
    </border>
    <border>
      <left/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/>
      <top/>
      <bottom style="thick">
        <color rgb="FFFFFFFF"/>
      </bottom>
      <diagonal/>
    </border>
    <border>
      <left/>
      <right style="thick">
        <color rgb="FFFFFFFF"/>
      </right>
      <top/>
      <bottom style="thick">
        <color rgb="FFFFFFFF"/>
      </bottom>
      <diagonal/>
    </border>
    <border>
      <left style="thick">
        <color rgb="FF773A0D"/>
      </left>
      <right/>
      <top style="thick">
        <color rgb="FF773A0D"/>
      </top>
      <bottom/>
      <diagonal/>
    </border>
    <border>
      <left/>
      <right style="thick">
        <color rgb="FF773A0D"/>
      </right>
      <top style="thick">
        <color rgb="FF773A0D"/>
      </top>
      <bottom/>
      <diagonal/>
    </border>
    <border>
      <left style="thick">
        <color rgb="FF773A0D"/>
      </left>
      <right/>
      <top/>
      <bottom/>
      <diagonal/>
    </border>
    <border>
      <left/>
      <right style="thick">
        <color rgb="FF773A0D"/>
      </right>
      <top/>
      <bottom/>
      <diagonal/>
    </border>
    <border>
      <left style="thick">
        <color rgb="FFD41349"/>
      </left>
      <right/>
      <top style="thick">
        <color rgb="FFD41349"/>
      </top>
      <bottom/>
      <diagonal/>
    </border>
    <border>
      <left/>
      <right style="thick">
        <color rgb="FFD41349"/>
      </right>
      <top style="thick">
        <color rgb="FFD41349"/>
      </top>
      <bottom/>
      <diagonal/>
    </border>
    <border>
      <left style="thick">
        <color rgb="FF773A0D"/>
      </left>
      <right/>
      <top/>
      <bottom style="thick">
        <color rgb="FF773A0D"/>
      </bottom>
      <diagonal/>
    </border>
    <border>
      <left/>
      <right style="thick">
        <color rgb="FF773A0D"/>
      </right>
      <top/>
      <bottom style="thick">
        <color rgb="FF773A0D"/>
      </bottom>
      <diagonal/>
    </border>
    <border>
      <left style="thick">
        <color rgb="FFD41349"/>
      </left>
      <right/>
      <top/>
      <bottom/>
      <diagonal/>
    </border>
    <border>
      <left/>
      <right style="thick">
        <color rgb="FFD41349"/>
      </right>
      <top/>
      <bottom/>
      <diagonal/>
    </border>
    <border>
      <left style="thick">
        <color rgb="FFAED6F1"/>
      </left>
      <right/>
      <top style="thick">
        <color rgb="FFAED6F1"/>
      </top>
      <bottom/>
      <diagonal/>
    </border>
    <border>
      <left/>
      <right style="thick">
        <color rgb="FFAED6F1"/>
      </right>
      <top style="thick">
        <color rgb="FFAED6F1"/>
      </top>
      <bottom/>
      <diagonal/>
    </border>
    <border>
      <left style="thick">
        <color rgb="FFAED6F1"/>
      </left>
      <right/>
      <top/>
      <bottom/>
      <diagonal/>
    </border>
    <border>
      <left/>
      <right style="thick">
        <color rgb="FFAED6F1"/>
      </right>
      <top/>
      <bottom/>
      <diagonal/>
    </border>
    <border>
      <left style="thick">
        <color rgb="FFAED6F1"/>
      </left>
      <right/>
      <top/>
      <bottom style="thick">
        <color rgb="FFAED6F1"/>
      </bottom>
      <diagonal/>
    </border>
    <border>
      <left/>
      <right style="thick">
        <color rgb="FFAED6F1"/>
      </right>
      <top/>
      <bottom style="thick">
        <color rgb="FFAED6F1"/>
      </bottom>
      <diagonal/>
    </border>
    <border>
      <left style="thick">
        <color rgb="FFD41349"/>
      </left>
      <right/>
      <top/>
      <bottom style="thick">
        <color rgb="FFD41349"/>
      </bottom>
      <diagonal/>
    </border>
    <border>
      <left/>
      <right style="thick">
        <color rgb="FFD41349"/>
      </right>
      <top/>
      <bottom style="thick">
        <color rgb="FFD41349"/>
      </bottom>
      <diagonal/>
    </border>
  </borders>
  <cellStyleXfs count="1">
    <xf borderId="0" fillId="0" fontId="0" numFmtId="0" xfId="0">
      <alignment vertical="top"/>
    </xf>
  </cellStyleXfs>
  <cellXfs count="46">
    <xf borderId="0" fillId="0" fontId="0" numFmtId="0" xfId="0">
      <alignment vertical="top"/>
    </xf>
    <xf borderId="0" fillId="0" fontId="1" numFmtId="0" xfId="0">
      <alignment horizontal="left" vertical="top"/>
    </xf>
    <xf borderId="0" fillId="0" fontId="2" numFmtId="0" xfId="0">
      <alignment vertical="top"/>
    </xf>
    <xf borderId="0" fillId="2" fontId="3" numFmtId="0" xfId="0">
      <alignment horizontal="center" vertical="top"/>
    </xf>
    <xf borderId="0" fillId="3" fontId="4" numFmtId="0" xfId="0">
      <alignment horizontal="center" vertical="top"/>
    </xf>
    <xf borderId="0" fillId="3" fontId="4" numFmtId="0" xfId="0">
      <alignment horizontal="left" vertical="top"/>
    </xf>
    <xf borderId="0" fillId="3" fontId="4" numFmtId="0" xfId="0">
      <alignment vertical="top"/>
    </xf>
    <xf borderId="0" fillId="2" fontId="1" numFmtId="0" xfId="0">
      <alignment vertical="top"/>
    </xf>
    <xf borderId="0" fillId="2" fontId="5" numFmtId="0" xfId="0">
      <alignment vertical="top"/>
    </xf>
    <xf borderId="0" fillId="2" fontId="1" numFmtId="0" xfId="0">
      <alignment horizontal="left" vertical="top"/>
    </xf>
    <xf borderId="0" fillId="0" fontId="2" numFmtId="9" xfId="0">
      <alignment vertical="top"/>
    </xf>
    <xf borderId="0" fillId="0" fontId="6" numFmtId="0" xfId="0">
      <alignment vertical="top"/>
    </xf>
    <xf borderId="0" fillId="4" fontId="1" numFmtId="0" xfId="0">
      <alignment horizontal="left" vertical="top"/>
    </xf>
    <xf borderId="1" fillId="0" fontId="6" numFmtId="0" xfId="0">
      <alignment horizontal="left" vertical="top"/>
    </xf>
    <xf borderId="2" fillId="4" fontId="1" numFmtId="0" xfId="0">
      <alignment horizontal="left" vertical="top"/>
    </xf>
    <xf borderId="3" fillId="0" fontId="1" numFmtId="0" xfId="0">
      <alignment horizontal="right" vertical="top"/>
    </xf>
    <xf borderId="4" fillId="0" fontId="1" numFmtId="0" xfId="0">
      <alignment horizontal="left" vertical="top"/>
    </xf>
    <xf borderId="0" fillId="0" fontId="7" numFmtId="0" xfId="0">
      <alignment vertical="top"/>
    </xf>
    <xf borderId="0" fillId="2" fontId="5" numFmtId="0" xfId="0">
      <alignment horizontal="center" vertical="top"/>
    </xf>
    <xf borderId="5" fillId="0" fontId="6" numFmtId="0" xfId="0">
      <alignment horizontal="center" vertical="top"/>
    </xf>
    <xf borderId="6" fillId="0" fontId="6" numFmtId="0" xfId="0">
      <alignment horizontal="left" vertical="top"/>
    </xf>
    <xf borderId="7" fillId="0" fontId="1" numFmtId="0" xfId="0">
      <alignment vertical="top"/>
    </xf>
    <xf borderId="8" fillId="0" fontId="1" numFmtId="0" xfId="0">
      <alignment horizontal="left" vertical="top"/>
    </xf>
    <xf borderId="9" fillId="0" fontId="6" numFmtId="0" xfId="0">
      <alignment horizontal="center" vertical="top"/>
    </xf>
    <xf borderId="10" fillId="0" fontId="6" numFmtId="0" xfId="0">
      <alignment horizontal="center" vertical="top"/>
    </xf>
    <xf borderId="11" fillId="0" fontId="1" numFmtId="0" xfId="0">
      <alignment vertical="top"/>
    </xf>
    <xf borderId="12" fillId="4" fontId="1" numFmtId="0" xfId="0">
      <alignment horizontal="left" vertical="top"/>
    </xf>
    <xf borderId="13" fillId="0" fontId="1" numFmtId="0" xfId="0">
      <alignment horizontal="left" vertical="top"/>
    </xf>
    <xf borderId="14" fillId="4" fontId="1" numFmtId="0" xfId="0">
      <alignment horizontal="left" vertical="top"/>
    </xf>
    <xf borderId="14" fillId="0" fontId="1" numFmtId="0" xfId="0">
      <alignment horizontal="left" vertical="top"/>
    </xf>
    <xf borderId="0" fillId="0" fontId="1" numFmtId="0" xfId="0">
      <alignment vertical="top"/>
    </xf>
    <xf borderId="13" fillId="0" fontId="1" numFmtId="0" xfId="0">
      <alignment horizontal="left" vertical="center" wrapText="1"/>
    </xf>
    <xf borderId="14" fillId="0" fontId="1" numFmtId="0" xfId="0">
      <alignment horizontal="left" vertical="center"/>
    </xf>
    <xf borderId="15" fillId="0" fontId="6" numFmtId="0" xfId="0">
      <alignment horizontal="center" vertical="top"/>
    </xf>
    <xf borderId="16" fillId="0" fontId="6" numFmtId="0" xfId="0">
      <alignment horizontal="left" vertical="top"/>
    </xf>
    <xf borderId="17" fillId="0" fontId="1" numFmtId="0" xfId="0">
      <alignment vertical="top"/>
    </xf>
    <xf borderId="18" fillId="0" fontId="1" numFmtId="0" xfId="0">
      <alignment horizontal="left" vertical="top"/>
    </xf>
    <xf borderId="13" fillId="0" fontId="1" numFmtId="0" xfId="0">
      <alignment horizontal="left" vertical="center"/>
    </xf>
    <xf borderId="19" fillId="0" fontId="1" numFmtId="0" xfId="0">
      <alignment vertical="top"/>
    </xf>
    <xf borderId="20" fillId="0" fontId="1" numFmtId="0" xfId="0">
      <alignment horizontal="left" vertical="top"/>
    </xf>
    <xf borderId="21" fillId="0" fontId="1" numFmtId="0" xfId="0">
      <alignment horizontal="left" vertical="top"/>
    </xf>
    <xf borderId="22" fillId="0" fontId="1" numFmtId="0" xfId="0">
      <alignment horizontal="left" vertical="top"/>
    </xf>
    <xf borderId="0" fillId="0" fontId="1" numFmtId="0" xfId="0">
      <alignment horizontal="left" vertical="center"/>
    </xf>
    <xf borderId="0" fillId="0" fontId="1" numFmtId="0" xfId="0">
      <alignment horizontal="left" vertical="top" wrapText="1"/>
    </xf>
    <xf borderId="0" fillId="0" fontId="8" numFmtId="0" xfId="0">
      <alignment vertical="top"/>
    </xf>
    <xf borderId="0" fillId="0" fontId="9" numFmtId="0" xfId="0">
      <alignment vertical="top"/>
    </xf>
  </cellXfs>
  <cellStyles count="1">
    <cellStyle name="Normal" xfId="0" builtinId="0" customBuiltin="1"/>
  </cellStyles>
  <dxfs count="1">
    <dxf>
      <font>
        <color rgb="FFFFFFFF"/>
      </font>
      <fill>
        <patternFill patternType="solid">
          <fgColor rgb="FFFFFFFF"/>
          <bgColor rgb="FFFFFFFF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metadata.xml" Id="rId2" Type="http://schemas.openxmlformats.org/officeDocument/2006/relationships/sheetMetadata"/><Relationship Target="sharedStrings.xml" Id="rId3" Type="http://schemas.openxmlformats.org/officeDocument/2006/relationships/sharedStrings"/><Relationship Target="styles.xml" Id="rId4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P33"/>
  <sheetViews>
    <sheetView workbookViewId="0"/>
  </sheetViews>
  <sheetFormatPr defaultRowHeight="14.0" customHeight="1"/>
  <cols>
    <col min="1" max="1" width="2.51"/>
    <col min="2" max="2" width="22.92"/>
    <col min="3" max="3" style="1" width="9.53"/>
    <col min="4" max="4" width="4.5"/>
    <col min="5" max="5" style="1" width="27.02"/>
    <col min="6" max="6" style="1" width="29.67"/>
    <col min="7" max="7" width="4.1"/>
    <col min="8" max="8" hidden="1" style="2" width="0.0"/>
    <col min="9" max="9" hidden="1" style="2" width="0.0"/>
    <col min="10" max="10" hidden="1" style="2" width="0.0"/>
    <col min="11" max="15" hidden="1" style="2" width="0.0"/>
    <col min="16" max="16" hidden="1" width="0.0"/>
    <col min="17" max="17" hidden="1" style="2" width="0.0"/>
    <col min="18" max="1024" width="13.24"/>
  </cols>
  <sheetData>
    <row r="1" ht="20.0">
      <c r="A1" s="3"/>
      <c r="B1" s="4" t="s">
        <v>0</v>
      </c>
      <c r="C1" s="5"/>
      <c r="D1" s="6"/>
      <c r="E1" s="5"/>
      <c r="F1" s="5"/>
      <c r="G1" s="7"/>
    </row>
    <row r="2">
      <c r="A2" s="8"/>
      <c r="B2" s="7"/>
      <c r="C2" s="9"/>
      <c r="D2" s="7"/>
      <c r="E2" s="9"/>
      <c r="F2" s="9"/>
      <c r="G2" s="7"/>
      <c r="H2" s="10"/>
    </row>
    <row r="3">
      <c r="A3" s="8"/>
      <c r="B3" s="11" t="s">
        <v>1</v>
      </c>
      <c r="C3" s="12">
        <v>1500.0</v>
      </c>
      <c r="D3" s="7"/>
      <c r="E3" s="13" t="s">
        <v>2</v>
      </c>
      <c r="F3" s="14" t="s">
        <v>3</v>
      </c>
      <c r="G3" s="7"/>
      <c r="H3" s="10" t="s">
        <v>4</v>
      </c>
      <c r="J3" s="2" t="s">
        <v>5</v>
      </c>
      <c r="K3" s="2">
        <f>C3*12%</f>
        <v>180.0</v>
      </c>
      <c r="L3" s="2">
        <f t="shared" ref="L3:L4" si="1">K3/2</f>
        <v>90.0</v>
      </c>
      <c r="M3" s="2" t="s">
        <v>6</v>
      </c>
      <c r="N3" s="2" t="s">
        <f t="shared" ref="N3:N4" si="2">_xlfn.CONCATENATE(L3,M3)</f>
        <v>7</v>
      </c>
      <c r="O3" s="2" t="s">
        <v>8</v>
      </c>
      <c r="P3" t="s">
        <f t="shared" ref="P3:P4" si="3">_xlfn.CONCATENATE(N3,O3,H17)</f>
        <v>9</v>
      </c>
    </row>
    <row r="4">
      <c r="A4" s="8"/>
      <c r="B4" s="7"/>
      <c r="C4" s="9"/>
      <c r="D4" s="7"/>
      <c r="E4" s="15" t="s">
        <v>10</v>
      </c>
      <c r="F4" s="16" t="s">
        <f>K24</f>
        <v>11</v>
      </c>
      <c r="G4" s="7"/>
      <c r="H4" s="2" t="s">
        <v>12</v>
      </c>
      <c r="J4" s="2" t="s">
        <v>13</v>
      </c>
      <c r="K4" s="2">
        <f>C3*10%</f>
        <v>150.0</v>
      </c>
      <c r="L4" s="2">
        <f t="shared" si="1"/>
        <v>75.0</v>
      </c>
      <c r="M4" s="2" t="s">
        <v>6</v>
      </c>
      <c r="N4" s="2" t="s">
        <f t="shared" si="2"/>
        <v>14</v>
      </c>
      <c r="O4" s="2" t="s">
        <v>8</v>
      </c>
      <c r="P4" s="17" t="s">
        <f t="shared" si="3"/>
        <v>15</v>
      </c>
    </row>
    <row r="5">
      <c r="A5" s="18"/>
      <c r="B5" s="19" t="s">
        <v>16</v>
      </c>
      <c r="C5" s="20"/>
      <c r="D5" s="7"/>
      <c r="E5" s="9"/>
      <c r="F5" s="9"/>
      <c r="G5" s="7"/>
      <c r="H5" s="2" t="s">
        <v>17</v>
      </c>
      <c r="U5" s="17"/>
    </row>
    <row r="6">
      <c r="A6" s="8"/>
      <c r="B6" s="21" t="s">
        <v>18</v>
      </c>
      <c r="C6" s="22">
        <f>C3*40%</f>
        <v>600.0</v>
      </c>
      <c r="D6" s="7"/>
      <c r="E6" s="23" t="s">
        <v>19</v>
      </c>
      <c r="F6" s="24"/>
      <c r="G6" s="7"/>
      <c r="H6" s="2" t="s">
        <v>20</v>
      </c>
      <c r="U6" s="17"/>
    </row>
    <row r="7">
      <c r="A7" s="8"/>
      <c r="B7" s="25" t="s">
        <v>21</v>
      </c>
      <c r="C7" s="26">
        <v>580.0</v>
      </c>
      <c r="D7" s="7"/>
      <c r="E7" s="27" t="s">
        <v>22</v>
      </c>
      <c r="F7" s="28" t="s">
        <v>4</v>
      </c>
      <c r="G7" s="7"/>
      <c r="H7" s="2" t="s">
        <f>C9</f>
        <v>23</v>
      </c>
      <c r="U7" s="17"/>
    </row>
    <row r="8">
      <c r="A8" s="8"/>
      <c r="B8" s="7"/>
      <c r="C8" s="9"/>
      <c r="D8" s="7"/>
      <c r="E8" s="27" t="s">
        <f>IF(F7=H4,H12,"")</f>
        <v>24</v>
      </c>
      <c r="F8" s="28" t="s">
        <v>17</v>
      </c>
      <c r="G8" s="7"/>
      <c r="H8" s="2">
        <f>C3*30%</f>
        <v>450.0</v>
      </c>
      <c r="U8" s="17"/>
    </row>
    <row r="9">
      <c r="A9" s="8"/>
      <c r="B9" s="2" t="s">
        <v>25</v>
      </c>
      <c r="C9" s="1" t="s">
        <f>K27</f>
        <v>23</v>
      </c>
      <c r="D9" s="7"/>
      <c r="E9" s="27"/>
      <c r="F9" s="29"/>
      <c r="G9" s="7"/>
      <c r="H9" s="2" t="s">
        <v>26</v>
      </c>
      <c r="U9" s="17"/>
    </row>
    <row r="10">
      <c r="A10" s="8"/>
      <c r="B10" s="30" t="s">
        <v>27</v>
      </c>
      <c r="C10" s="1" t="s">
        <f>IF(C7="","",K25)</f>
        <v>28</v>
      </c>
      <c r="D10" s="7"/>
      <c r="E10" s="31" t="s">
        <f>IF(C7&gt;0,H11,H9)</f>
        <v>29</v>
      </c>
      <c r="F10" s="32">
        <f>IFERROR(IF(I27&gt;0,H8+I27+I25,H8),"Aguardando Info. Massa Disponível")</f>
        <v>477.5</v>
      </c>
      <c r="G10" s="7"/>
      <c r="H10" s="2" t="s">
        <v>30</v>
      </c>
      <c r="U10" s="17"/>
    </row>
    <row r="11">
      <c r="A11" s="8"/>
      <c r="B11" s="7"/>
      <c r="C11" s="9"/>
      <c r="D11" s="7"/>
      <c r="E11" s="31"/>
      <c r="F11" s="32"/>
      <c r="G11" s="7"/>
      <c r="H11" s="2" t="s">
        <f>_xlfn.CONCATENATE(H9,H10)</f>
        <v>29</v>
      </c>
    </row>
    <row r="12">
      <c r="A12" s="18"/>
      <c r="B12" s="33" t="s">
        <v>31</v>
      </c>
      <c r="C12" s="34"/>
      <c r="D12" s="7"/>
      <c r="E12" s="27" t="s">
        <f>_xlfn.IFS(F7=H3,"",F8=H5,J19,F8=H6,J20)</f>
        <v>24</v>
      </c>
      <c r="F12" s="29" t="s">
        <f>_xlfn.IFS(F7=H3,"",F8=H5,J17,F8=H6,J18)</f>
        <v>24</v>
      </c>
      <c r="G12" s="7"/>
      <c r="H12" s="2" t="s">
        <v>32</v>
      </c>
    </row>
    <row r="13">
      <c r="A13" s="8"/>
      <c r="B13" s="35" t="s">
        <v>33</v>
      </c>
      <c r="C13" s="36" t="s">
        <f t="shared" ref="C13:C14" si="17">K22</f>
        <v>34</v>
      </c>
      <c r="D13" s="7"/>
      <c r="E13" s="37" t="s">
        <v>35</v>
      </c>
      <c r="F13" s="29">
        <f>IFERROR(_xlfn.IFS(F7=H3,I13,F8=H5,J15,F8=H6,J16),"Aguardando Info. Massa Disponível")</f>
        <v>238.75</v>
      </c>
      <c r="G13" s="7"/>
      <c r="H13" s="2" t="s">
        <v>36</v>
      </c>
      <c r="I13" s="2">
        <f>F10/2</f>
        <v>238.75</v>
      </c>
    </row>
    <row r="14">
      <c r="A14" s="8"/>
      <c r="B14" s="38" t="s">
        <v>37</v>
      </c>
      <c r="C14" s="39" t="s">
        <f t="shared" si="17"/>
        <v>38</v>
      </c>
      <c r="D14" s="7"/>
      <c r="E14" s="40" t="s">
        <f>_xlfn.IFS(F7=H3,"",F7=H4,E13)</f>
        <v>24</v>
      </c>
      <c r="F14" s="41" t="s">
        <f>_xlfn.IFS(F7=H3,"",F8=H5,P3,F8=H6,P4)</f>
        <v>24</v>
      </c>
      <c r="G14" s="7"/>
      <c r="H14" s="2" t="s">
        <v>39</v>
      </c>
    </row>
    <row r="15">
      <c r="A15" s="8"/>
      <c r="B15" s="7"/>
      <c r="C15" s="9"/>
      <c r="D15" s="7"/>
      <c r="E15" s="9"/>
      <c r="F15" s="9"/>
      <c r="G15" s="7"/>
      <c r="H15" s="2" t="s">
        <v>40</v>
      </c>
      <c r="I15" s="2">
        <f>F10-K3</f>
        <v>297.5</v>
      </c>
      <c r="J15" s="2" t="s">
        <f>_xlfn.CONCATENATE(K15," gr. de ",H14)</f>
        <v>41</v>
      </c>
      <c r="K15" s="2">
        <f t="shared" ref="K15:K16" si="24">I15/2</f>
        <v>148.75</v>
      </c>
    </row>
    <row r="16">
      <c r="A16" s="30"/>
      <c r="B16" s="30"/>
      <c r="D16" s="30"/>
      <c r="H16" s="2" t="s">
        <v>42</v>
      </c>
      <c r="I16" s="2">
        <f>F10-K4</f>
        <v>327.5</v>
      </c>
      <c r="J16" s="2" t="s">
        <f>_xlfn.CONCATENATE(K16," gr. de ",H14)</f>
        <v>43</v>
      </c>
      <c r="K16" s="2">
        <f t="shared" si="24"/>
        <v>163.75</v>
      </c>
    </row>
    <row r="17">
      <c r="A17" s="30"/>
      <c r="F17" s="42">
        <v>620.0</v>
      </c>
      <c r="H17" s="2" t="s">
        <v>44</v>
      </c>
      <c r="J17" s="2" t="s">
        <f t="shared" ref="J17:J18" si="27">_xlfn.CONCATENATE(K3," gr. de ",H17)</f>
        <v>45</v>
      </c>
    </row>
    <row r="18">
      <c r="A18" s="30"/>
      <c r="F18" s="42"/>
      <c r="H18" s="2" t="s">
        <v>20</v>
      </c>
      <c r="J18" s="2" t="s">
        <f t="shared" si="27"/>
        <v>46</v>
      </c>
    </row>
    <row r="19">
      <c r="A19" s="30"/>
      <c r="F19" s="1" t="s">
        <f t="shared" ref="F19:F21" si="28">LEFT(F12,3)</f>
        <v>24</v>
      </c>
      <c r="H19" s="2" t="s">
        <v>47</v>
      </c>
      <c r="J19" s="2" t="s">
        <f>_xlfn.CONCATENATE(H19,H17,":")</f>
        <v>48</v>
      </c>
    </row>
    <row r="20">
      <c r="A20" s="30"/>
      <c r="F20" s="1" t="s">
        <f t="shared" si="28"/>
        <v>49</v>
      </c>
      <c r="J20" s="2" t="s">
        <f>_xlfn.CONCATENATE(H19,H18,":")</f>
        <v>50</v>
      </c>
    </row>
    <row r="21">
      <c r="A21" s="30"/>
      <c r="F21" s="1" t="s">
        <f t="shared" si="28"/>
        <v>24</v>
      </c>
    </row>
    <row r="22">
      <c r="A22" s="30"/>
      <c r="H22" s="2" t="s">
        <v>33</v>
      </c>
      <c r="I22" s="2">
        <f>IF(C7&gt;0,C7*37.5%,C3*15%)</f>
        <v>217.5</v>
      </c>
      <c r="J22" s="2" t="s">
        <v>51</v>
      </c>
      <c r="K22" s="2" t="s">
        <f t="shared" ref="K22:K27" si="32">_xlfn.CONCATENATE(I22,J22)</f>
        <v>34</v>
      </c>
    </row>
    <row r="23">
      <c r="A23" s="30"/>
      <c r="I23" s="2">
        <f>I22/3</f>
        <v>72.5</v>
      </c>
      <c r="J23" s="2" t="s">
        <v>51</v>
      </c>
      <c r="K23" s="2" t="s">
        <f t="shared" si="32"/>
        <v>38</v>
      </c>
    </row>
    <row r="24">
      <c r="A24" s="30"/>
      <c r="I24" s="2">
        <f>C3*15%</f>
        <v>225.0</v>
      </c>
      <c r="J24" s="2" t="s">
        <v>51</v>
      </c>
      <c r="K24" s="2" t="s">
        <f t="shared" si="32"/>
        <v>11</v>
      </c>
    </row>
    <row r="25">
      <c r="B25" s="30"/>
      <c r="D25" s="30"/>
      <c r="E25" s="30"/>
      <c r="I25" s="2">
        <f>I24-I22</f>
        <v>7.5</v>
      </c>
      <c r="J25" s="2" t="s">
        <v>51</v>
      </c>
      <c r="K25" s="2" t="s">
        <f t="shared" si="32"/>
        <v>28</v>
      </c>
    </row>
    <row r="26">
      <c r="A26" s="30"/>
      <c r="B26" s="17"/>
      <c r="C26" s="17"/>
      <c r="D26" s="30"/>
      <c r="E26" s="30"/>
      <c r="I26" s="2" t="e">
        <f>IF(C7&gt;0,H8+C9,H8)</f>
        <v>#VALUE!</v>
      </c>
      <c r="J26" s="2" t="s">
        <v>6</v>
      </c>
      <c r="K26" s="2" t="e">
        <f t="shared" si="32"/>
        <v>#VALUE!</v>
      </c>
    </row>
    <row r="27">
      <c r="A27" s="30"/>
      <c r="B27" s="30" t="s">
        <v>52</v>
      </c>
      <c r="C27" s="1">
        <f>C3</f>
        <v>1500.0</v>
      </c>
      <c r="D27" s="17"/>
      <c r="E27" s="43" t="s" cm="1">
        <f t="array" ref="E27:E28">E10:E11</f>
        <v>29</v>
      </c>
      <c r="I27" s="44">
        <f>IF(C7="","",C6-C7)</f>
        <v>20.0</v>
      </c>
      <c r="J27" s="2" t="s">
        <v>6</v>
      </c>
      <c r="K27" s="2" t="s">
        <f t="shared" si="32"/>
        <v>23</v>
      </c>
    </row>
    <row r="28">
      <c r="B28" s="30" t="s">
        <v>53</v>
      </c>
      <c r="C28" s="1">
        <f>C7</f>
        <v>580.0</v>
      </c>
      <c r="D28" s="17"/>
      <c r="E28" s="43"/>
    </row>
    <row r="29">
      <c r="B29" s="17"/>
      <c r="C29" s="30"/>
      <c r="D29" s="17"/>
      <c r="E29" s="30" t="s">
        <f t="shared" ref="E29:E31" si="41">E12</f>
        <v>24</v>
      </c>
    </row>
    <row r="30">
      <c r="B30" s="45" t="s">
        <v>54</v>
      </c>
      <c r="C30" s="1">
        <v>75.0</v>
      </c>
      <c r="D30" s="17"/>
      <c r="E30" s="30" t="s">
        <f t="shared" si="41"/>
        <v>35</v>
      </c>
    </row>
    <row r="31">
      <c r="B31" s="35" t="s">
        <v>37</v>
      </c>
      <c r="C31" s="1">
        <f>C30/3</f>
        <v>25.0</v>
      </c>
      <c r="D31" s="17"/>
      <c r="E31" s="30" t="s">
        <f t="shared" si="41"/>
        <v>24</v>
      </c>
    </row>
    <row r="32">
      <c r="B32" s="17" t="s">
        <v>55</v>
      </c>
      <c r="C32" s="30"/>
      <c r="D32" s="17"/>
      <c r="E32" s="30"/>
    </row>
    <row r="33">
      <c r="B33" s="30" t="s">
        <v>56</v>
      </c>
      <c r="C33" s="1" t="s">
        <f>LEFT(F4,3)</f>
        <v>57</v>
      </c>
      <c r="D33" s="17"/>
      <c r="E33" s="30"/>
    </row>
    <row r="34">
      <c r="B34" s="17"/>
      <c r="D34" s="30"/>
      <c r="E34" s="30"/>
    </row>
  </sheetData>
  <mergeCells count="8">
    <mergeCell ref="B12:C12"/>
    <mergeCell ref="B5:C5"/>
    <mergeCell ref="B1:F1"/>
    <mergeCell ref="E10:E11"/>
    <mergeCell ref="E6:F6"/>
    <mergeCell ref="E27:E28"/>
    <mergeCell ref="F17:F18"/>
    <mergeCell ref="F10:F11"/>
  </mergeCells>
  <conditionalFormatting sqref="F8:F8">
    <cfRule dxfId="0" type="expression" priority="1">
      <formula>'Folha1'!F7='Folha1'!H3</formula>
    </cfRule>
  </conditionalFormatting>
  <dataValidations count="2">
    <dataValidation allowBlank="1" showErrorMessage="1" error="Escolher opções disponíveis de Recheio" errorStyle="stop" showInputMessage="1" prompt="Inserir um item da lista fornecida." type="list" sqref="F8:F8">
      <formula1>'Folha1'!$H$5:$H$6</formula1>
    </dataValidation>
    <dataValidation allowBlank="0" showErrorMessage="1" error="The entered value violates the data validation rules set on the cell." errorStyle="stop" showInputMessage="1" prompt="Inserir uma opção de Categoria de Recheios" type="list" sqref="F7:F7">
      <formula1>'Folha1'!$H$3:$H$4</formula1>
    </dataValidation>
  </dataValidations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2025-07-07T02:49:30Z</dcterms:created>
</cp:coreProperties>
</file>