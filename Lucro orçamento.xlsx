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0" documentId="8_{9624829B-8C02-4739-BCCB-5028AB4855FD}" xr6:coauthVersionLast="47" xr6:coauthVersionMax="47" xr10:uidLastSave="{00000000-0000-0000-0000-000000000000}"/>
  <bookViews>
    <workbookView xWindow="-120" yWindow="-120" windowWidth="20730" windowHeight="11160" xr2:uid="{840F05A4-30E7-4C17-A2A3-DB3E41D08E7D}"/>
  </bookViews>
  <sheets>
    <sheet name="Planilha1" sheetId="1" r:id="rId1"/>
  </sheets>
  <externalReferences>
    <externalReference r:id="rId2"/>
  </externalReferences>
  <definedNames>
    <definedName name="Materiais" localSheetId="0">[1]!Tabela1[Ingrediente]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E17" i="1"/>
  <c r="D13" i="1"/>
  <c r="E13" i="1" s="1"/>
</calcChain>
</file>

<file path=xl/sharedStrings.xml><?xml version="1.0" encoding="utf-8"?>
<sst xmlns="http://schemas.openxmlformats.org/spreadsheetml/2006/main" count="21" uniqueCount="10">
  <si>
    <t>Rendimento</t>
  </si>
  <si>
    <t>Valor de venda por kg:</t>
  </si>
  <si>
    <t>Custo total receita:</t>
  </si>
  <si>
    <t>Valor total de venda</t>
  </si>
  <si>
    <t>Lucro Real</t>
  </si>
  <si>
    <t>Orçamento inicial</t>
  </si>
  <si>
    <t>Orçamento Concorrência</t>
  </si>
  <si>
    <t>kg</t>
  </si>
  <si>
    <t>Novo orçamento</t>
  </si>
  <si>
    <t>Valor de venda por unidade: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</si>
</sst>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&#225;ic%20e%20Gabi\Desktop\Doce%20Lua\Planilha%202%20Precifica&#231;ao%20Doce%20Lua%20-%20Dani%20Dias.xlsx" TargetMode="External"/><Relationship Id="rId1" Type="http://schemas.openxmlformats.org/officeDocument/2006/relationships/externalLinkPath" Target="file:///C:\Users\K&#225;ic%20e%20Gabi\Desktop\Doce%20Lua\Planilha%202%20Precifica&#231;ao%20Doce%20Lua%20-%20Dani%20D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sa brigadeiro festa 13g 400u"/>
      <sheetName val="Massa brigadeiro festa 20g"/>
      <sheetName val="Chocolate Dark 750g"/>
      <sheetName val="Chocolate Dark 450g"/>
      <sheetName val="Pirulito chocolate"/>
      <sheetName val="Tabela de Valores de materiais"/>
      <sheetName val="Nova Receita (5)"/>
      <sheetName val="Nova Receita 13k"/>
      <sheetName val="Massa brigadeiro festa 16g"/>
      <sheetName val="Caseirinho Fuba"/>
      <sheetName val="Caseirinho Baunilha"/>
      <sheetName val="Cookies (2)"/>
      <sheetName val="Caixa com xicara e docinhos"/>
      <sheetName val="Caixa com 12 Docinhos"/>
      <sheetName val="Caixinha com 6 docinhos "/>
      <sheetName val="Caixinha com 8 docinhos + pince"/>
      <sheetName val="Nova Receita"/>
      <sheetName val="Nova Receita (4)"/>
      <sheetName val="Nova Receita (3)"/>
      <sheetName val="Nova Receita (2)"/>
      <sheetName val="Bolo Confeitado"/>
      <sheetName val="Receita em vao"/>
      <sheetName val="1 ovo truf. 250g"/>
      <sheetName val="1 ovo trad. 250g"/>
      <sheetName val="1 ovo de colher 250g"/>
      <sheetName val="conj. 3 ovo de colher 50g"/>
      <sheetName val="conj. 3 ovo de colher 100g"/>
      <sheetName val="conj. 3 ovo de colher 250g"/>
      <sheetName val="Pirulito chocolate (2)"/>
      <sheetName val="Recheio para bolo gourmet"/>
      <sheetName val="Cento brigadeiro"/>
      <sheetName val="Bolo mole pega marido"/>
      <sheetName val="Massa brigadeiro"/>
      <sheetName val="Chocotone Recheado"/>
      <sheetName val="Base 26 Geladinhos"/>
      <sheetName val="16 Geladinhos Açai"/>
      <sheetName val="9 Geladinho Prestigio"/>
      <sheetName val="7 Geladinho Nutella"/>
      <sheetName val="4 Oreo"/>
      <sheetName val="6 Geladinho Sensaçao"/>
      <sheetName val="Aniversario Doce Lua"/>
      <sheetName val="Massa brigadeiro Dark - 615g"/>
      <sheetName val="Pão de Ló"/>
      <sheetName val="Bolo Vulcao 700g"/>
      <sheetName val="Bolo Vulcao 1250g"/>
      <sheetName val="Bolacha Doce Lua"/>
      <sheetName val="Cookies"/>
      <sheetName val="Pao Caseiro"/>
      <sheetName val="Pote de Sorvete 100g antiga"/>
      <sheetName val="Pote de Sorvete 100g Ninho"/>
      <sheetName val="Pote de Sorvete 100g Chocolate"/>
      <sheetName val="Pote de Sorvete 140g Maracuja"/>
      <sheetName val="Pote de Sorvete 150g Morango"/>
      <sheetName val="Receita (32)"/>
      <sheetName val="Tabela de Valores de Receitas"/>
      <sheetName val="Cenoura com Cobertura 750g"/>
      <sheetName val="Pote Cenoura 210g"/>
      <sheetName val="Pote Dark 210g"/>
      <sheetName val="Ganhos Mensais e depesas"/>
      <sheetName val="Milho"/>
      <sheetName val="Chocolate Branco - 615g"/>
      <sheetName val="Receita (6)"/>
      <sheetName val="Receita (7)"/>
      <sheetName val="Receita (8)"/>
      <sheetName val="Planilha3"/>
      <sheetName val="Receita (9)"/>
      <sheetName val="Receita (11)"/>
      <sheetName val="Receita (12)"/>
      <sheetName val="Receita (13)"/>
      <sheetName val="Receita (14)"/>
      <sheetName val="Receita (15)"/>
      <sheetName val="Receita (16)"/>
      <sheetName val="Receita (17)"/>
      <sheetName val="Receita (18)"/>
      <sheetName val="Receita (19)"/>
      <sheetName val="Receita (20)"/>
      <sheetName val="Receita (21)"/>
      <sheetName val="Receita (22)"/>
      <sheetName val="Receita (23)"/>
      <sheetName val="Receita (24)"/>
      <sheetName val="Receita (25)"/>
      <sheetName val="Receita (26)"/>
      <sheetName val="Receita (27)"/>
      <sheetName val="Receita (28)"/>
      <sheetName val="Receita (29)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953B-CCC9-429E-86F4-FE7BC2D5F3D9}">
  <dimension ref="A3:G18"/>
  <sheetViews>
    <sheetView tabSelected="1" workbookViewId="0">
      <selection activeCell="G19" sqref="G19"/>
    </sheetView>
  </sheetViews>
  <sheetFormatPr defaultRowHeight="15" x14ac:dyDescent="0.25"/>
  <cols>
    <col min="1" max="1" width="27.7109375" style="2" bestFit="1" customWidth="1"/>
    <col min="2" max="2" width="10.5703125" bestFit="1" customWidth="1"/>
    <col min="4" max="4" width="18.7109375" bestFit="1" customWidth="1"/>
    <col min="5" max="5" width="10.140625" bestFit="1" customWidth="1"/>
    <col min="7" max="7" width="17" bestFit="1" customWidth="1"/>
  </cols>
  <sheetData>
    <row r="3" spans="1:7" x14ac:dyDescent="0.25">
      <c r="A3" s="2" t="s">
        <v>0</v>
      </c>
      <c r="B3" s="3">
        <v>13</v>
      </c>
      <c r="C3" t="s">
        <v>7</v>
      </c>
    </row>
    <row r="4" spans="1:7" x14ac:dyDescent="0.25">
      <c r="D4" t="s">
        <v>3</v>
      </c>
      <c r="E4" t="s">
        <v>4</v>
      </c>
      <c r="G4" t="s">
        <v>5</v>
      </c>
    </row>
    <row r="5" spans="1:7" x14ac:dyDescent="0.25">
      <c r="A5" s="5" t="s">
        <v>2</v>
      </c>
      <c r="B5" s="1">
        <v>172.33</v>
      </c>
      <c r="D5" s="6">
        <v>715</v>
      </c>
      <c r="E5" s="6">
        <v>542.66999999999996</v>
      </c>
    </row>
    <row r="6" spans="1:7" x14ac:dyDescent="0.25">
      <c r="A6" s="2" t="s">
        <v>1</v>
      </c>
      <c r="B6" s="4">
        <v>55</v>
      </c>
      <c r="D6" s="7"/>
      <c r="E6" s="7"/>
    </row>
    <row r="7" spans="1:7" ht="15" customHeight="1" x14ac:dyDescent="0.25"/>
    <row r="8" spans="1:7" ht="15.75" customHeight="1" x14ac:dyDescent="0.25">
      <c r="D8" t="s">
        <v>3</v>
      </c>
      <c r="E8" t="s">
        <v>4</v>
      </c>
      <c r="G8" t="s">
        <v>6</v>
      </c>
    </row>
    <row r="9" spans="1:7" x14ac:dyDescent="0.25">
      <c r="A9" s="5" t="s">
        <v>2</v>
      </c>
      <c r="B9" s="1">
        <v>172.33</v>
      </c>
      <c r="D9" s="6">
        <v>550.03</v>
      </c>
      <c r="E9" s="6">
        <v>377.7</v>
      </c>
    </row>
    <row r="10" spans="1:7" x14ac:dyDescent="0.25">
      <c r="A10" s="2" t="s">
        <v>1</v>
      </c>
      <c r="B10" s="4">
        <v>42.31</v>
      </c>
      <c r="D10" s="7"/>
      <c r="E10" s="7"/>
    </row>
    <row r="12" spans="1:7" x14ac:dyDescent="0.25">
      <c r="A12" s="5"/>
      <c r="B12" s="1"/>
      <c r="D12" t="s">
        <v>3</v>
      </c>
      <c r="E12" t="s">
        <v>4</v>
      </c>
      <c r="G12" t="s">
        <v>8</v>
      </c>
    </row>
    <row r="13" spans="1:7" x14ac:dyDescent="0.25">
      <c r="A13" s="5" t="s">
        <v>2</v>
      </c>
      <c r="B13" s="1">
        <v>172.33</v>
      </c>
      <c r="D13" s="6">
        <f>B14*B3</f>
        <v>585</v>
      </c>
      <c r="E13" s="6">
        <f>D13-B13</f>
        <v>412.66999999999996</v>
      </c>
    </row>
    <row r="14" spans="1:7" x14ac:dyDescent="0.25">
      <c r="A14" s="2" t="s">
        <v>1</v>
      </c>
      <c r="B14" s="4">
        <v>45</v>
      </c>
      <c r="D14" s="7"/>
      <c r="E14" s="7"/>
    </row>
    <row r="16" spans="1:7" x14ac:dyDescent="0.25">
      <c r="D16" t="s">
        <v>3</v>
      </c>
      <c r="E16" t="s">
        <v>4</v>
      </c>
    </row>
    <row r="17" spans="1:7" x14ac:dyDescent="0.25">
      <c r="A17" s="5" t="s">
        <v>2</v>
      </c>
      <c r="B17" s="1">
        <v>88.02</v>
      </c>
      <c r="D17" s="6">
        <v>303.75</v>
      </c>
      <c r="E17" s="6">
        <f>D17-B17</f>
        <v>215.73000000000002</v>
      </c>
      <c r="G17" s="6">
        <f>E13+E17</f>
        <v>628.4</v>
      </c>
    </row>
    <row r="18" spans="1:7" x14ac:dyDescent="0.25">
      <c r="A18" s="2" t="s">
        <v>9</v>
      </c>
      <c r="B18" s="4">
        <v>0.75</v>
      </c>
      <c r="D18" s="7"/>
      <c r="E18" s="7"/>
      <c r="G18" s="7"/>
    </row>
  </sheetData>
  <mergeCells count="9">
    <mergeCell ref="D13:D14"/>
    <mergeCell ref="E13:E14"/>
    <mergeCell ref="E17:E18"/>
    <mergeCell ref="D17:D18"/>
    <mergeCell ref="G17:G18"/>
    <mergeCell ref="D5:D6"/>
    <mergeCell ref="E5:E6"/>
    <mergeCell ref="D9:D10"/>
    <mergeCell ref="E9:E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cp:lastModifiedBy>Káic Vicente</cp:lastModifiedBy>
  <dcterms:created xsi:type="dcterms:W3CDTF">2024-07-22T22:36:39Z</dcterms:created>
  <dcterms:modified xsi:type="dcterms:W3CDTF">2024-07-23T01:34:45Z</dcterms:modified>
</cp:coreProperties>
</file>