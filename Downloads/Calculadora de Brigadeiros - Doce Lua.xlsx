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áic e Gabi\Documents\Downloads\"/>
    </mc:Choice>
  </mc:AlternateContent>
  <xr:revisionPtr revIDLastSave="0" documentId="8_{915C47CA-9574-4941-B39D-BAF81BB45C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AJ3" i="1"/>
  <c r="B6" i="1"/>
  <c r="B3" i="1"/>
  <c r="I65" i="1"/>
  <c r="I67" i="1" s="1"/>
  <c r="I69" i="1" s="1"/>
  <c r="AE43" i="1"/>
  <c r="AD43" i="1"/>
  <c r="AE44" i="1" s="1"/>
  <c r="AD42" i="1"/>
  <c r="AD41" i="1"/>
  <c r="AD40" i="1"/>
  <c r="AF40" i="1" s="1"/>
  <c r="AD39" i="1"/>
  <c r="AE39" i="1" s="1"/>
  <c r="AD38" i="1"/>
  <c r="AD37" i="1"/>
  <c r="AD36" i="1"/>
  <c r="AE36" i="1" s="1"/>
  <c r="AD35" i="1"/>
  <c r="AD33" i="1"/>
  <c r="E33" i="1"/>
  <c r="AD32" i="1"/>
  <c r="D32" i="1"/>
  <c r="F32" i="1" s="1"/>
  <c r="D31" i="1"/>
  <c r="F31" i="1" s="1"/>
  <c r="D30" i="1"/>
  <c r="F30" i="1" s="1"/>
  <c r="V29" i="1"/>
  <c r="E32" i="1" s="1"/>
  <c r="T29" i="1"/>
  <c r="D29" i="1"/>
  <c r="F29" i="1" s="1"/>
  <c r="V28" i="1"/>
  <c r="E31" i="1" s="1"/>
  <c r="T28" i="1"/>
  <c r="D28" i="1"/>
  <c r="F28" i="1" s="1"/>
  <c r="V27" i="1"/>
  <c r="E30" i="1" s="1"/>
  <c r="T27" i="1"/>
  <c r="D27" i="1"/>
  <c r="F27" i="1" s="1"/>
  <c r="V26" i="1"/>
  <c r="W26" i="1" s="1"/>
  <c r="X26" i="1" s="1"/>
  <c r="Y26" i="1" s="1"/>
  <c r="T26" i="1"/>
  <c r="D26" i="1"/>
  <c r="AB25" i="1"/>
  <c r="V25" i="1"/>
  <c r="E28" i="1" s="1"/>
  <c r="T25" i="1"/>
  <c r="D25" i="1"/>
  <c r="AB24" i="1"/>
  <c r="V24" i="1"/>
  <c r="E27" i="1" s="1"/>
  <c r="T24" i="1"/>
  <c r="D24" i="1"/>
  <c r="F24" i="1" s="1"/>
  <c r="AB23" i="1"/>
  <c r="AF39" i="1" s="1"/>
  <c r="V23" i="1"/>
  <c r="E26" i="1" s="1"/>
  <c r="T23" i="1"/>
  <c r="D23" i="1"/>
  <c r="F23" i="1" s="1"/>
  <c r="AB22" i="1"/>
  <c r="V22" i="1"/>
  <c r="E25" i="1" s="1"/>
  <c r="T22" i="1"/>
  <c r="AB20" i="1"/>
  <c r="AF36" i="1" s="1"/>
  <c r="S20" i="1" a="1"/>
  <c r="S20" i="1" s="1"/>
  <c r="S9" i="1"/>
  <c r="P8" i="1"/>
  <c r="Q8" i="1" s="1"/>
  <c r="F8" i="1"/>
  <c r="D8" i="1"/>
  <c r="C8" i="1"/>
  <c r="E8" i="1" s="1"/>
  <c r="B8" i="1"/>
  <c r="E5" i="1"/>
  <c r="E4" i="1"/>
  <c r="AE35" i="1" s="1"/>
  <c r="AF35" i="1" s="1"/>
  <c r="W24" i="1" l="1"/>
  <c r="X24" i="1" s="1"/>
  <c r="Y24" i="1" s="1"/>
  <c r="W25" i="1"/>
  <c r="X25" i="1" s="1"/>
  <c r="Y25" i="1" s="1"/>
  <c r="AF41" i="1"/>
  <c r="W28" i="1"/>
  <c r="X28" i="1" s="1"/>
  <c r="Y28" i="1" s="1"/>
  <c r="AE41" i="1"/>
  <c r="AC25" i="1"/>
  <c r="E29" i="1"/>
  <c r="AF38" i="1"/>
  <c r="I85" i="1"/>
  <c r="I87" i="1" s="1"/>
  <c r="I89" i="1" s="1"/>
  <c r="I90" i="1" s="1"/>
  <c r="I96" i="1" s="1"/>
  <c r="AE32" i="1"/>
  <c r="AF32" i="1" s="1"/>
  <c r="T20" i="1"/>
  <c r="AB27" i="1"/>
  <c r="AH44" i="1" s="1"/>
  <c r="AC24" i="1"/>
  <c r="L8" i="1"/>
  <c r="L22" i="1"/>
  <c r="L7" i="1"/>
  <c r="L26" i="1" s="1"/>
  <c r="AE45" i="1"/>
  <c r="AE38" i="1"/>
  <c r="AC22" i="1" s="1"/>
  <c r="I70" i="1"/>
  <c r="I76" i="1" s="1"/>
  <c r="AC23" i="1"/>
  <c r="AC20" i="1"/>
  <c r="T21" i="1"/>
  <c r="AE34" i="1"/>
  <c r="AF34" i="1" s="1"/>
  <c r="AE40" i="1"/>
  <c r="AE42" i="1"/>
  <c r="AH43" i="1"/>
  <c r="W23" i="1"/>
  <c r="X23" i="1" s="1"/>
  <c r="Y23" i="1" s="1"/>
  <c r="F26" i="1" s="1"/>
  <c r="W27" i="1"/>
  <c r="X27" i="1" s="1"/>
  <c r="Y27" i="1" s="1"/>
  <c r="AE37" i="1"/>
  <c r="W22" i="1"/>
  <c r="X22" i="1" s="1"/>
  <c r="Y22" i="1" s="1"/>
  <c r="F25" i="1" s="1"/>
  <c r="W29" i="1"/>
  <c r="X29" i="1" s="1"/>
  <c r="Y29" i="1" s="1"/>
  <c r="AE33" i="1"/>
  <c r="AF33" i="1" s="1"/>
  <c r="U20" i="1" l="1"/>
  <c r="AE22" i="1"/>
  <c r="I98" i="1"/>
  <c r="I97" i="1"/>
  <c r="O23" i="1"/>
  <c r="AE20" i="1"/>
  <c r="AF43" i="1"/>
  <c r="AG43" i="1" s="1"/>
  <c r="AC27" i="1"/>
  <c r="I78" i="1"/>
  <c r="I77" i="1"/>
  <c r="V21" i="1" l="1"/>
  <c r="V20" i="1"/>
  <c r="W21" i="1" l="1"/>
  <c r="X21" i="1" s="1"/>
  <c r="Y21" i="1" s="1"/>
  <c r="E24" i="1"/>
  <c r="AB26" i="1" s="1"/>
  <c r="W20" i="1"/>
  <c r="X20" i="1" s="1"/>
  <c r="Y20" i="1" s="1"/>
  <c r="E23" i="1"/>
  <c r="AB21" i="1" s="1"/>
  <c r="AC26" i="1" l="1"/>
  <c r="AF42" i="1"/>
  <c r="AF48" i="1" s="1"/>
  <c r="I23" i="1" s="1"/>
  <c r="I25" i="1" s="1"/>
  <c r="AC21" i="1"/>
  <c r="AB29" i="1"/>
  <c r="AF37" i="1"/>
  <c r="AF47" i="1" s="1"/>
  <c r="I33" i="1" s="1"/>
  <c r="I35" i="1" s="1"/>
  <c r="I37" i="1" s="1"/>
  <c r="I38" i="1" s="1"/>
  <c r="I55" i="1" s="1"/>
  <c r="I57" i="1" s="1"/>
  <c r="I27" i="1"/>
  <c r="I28" i="1" s="1"/>
  <c r="I58" i="1" l="1"/>
  <c r="I60" i="1" s="1"/>
  <c r="F15" i="1" s="1"/>
  <c r="D15" i="1"/>
  <c r="E15" i="1" s="1"/>
  <c r="AE21" i="1"/>
  <c r="AC29" i="1"/>
  <c r="I56" i="1"/>
  <c r="B15" i="1" s="1"/>
  <c r="C15" i="1" s="1"/>
  <c r="I46" i="1"/>
  <c r="D36" i="1"/>
  <c r="I40" i="1"/>
  <c r="AE23" i="1" l="1"/>
  <c r="Q7" i="1"/>
  <c r="P7" i="1"/>
  <c r="D5" i="1"/>
  <c r="D6" i="1" s="1"/>
  <c r="D37" i="1"/>
  <c r="I48" i="1"/>
  <c r="D12" i="1" s="1"/>
  <c r="I47" i="1"/>
  <c r="B12" i="1" s="1"/>
  <c r="E12" i="1" l="1"/>
  <c r="M7" i="1"/>
  <c r="D9" i="1"/>
  <c r="K8" i="1"/>
  <c r="L21" i="1" s="1"/>
  <c r="K7" i="1"/>
  <c r="L25" i="1" s="1"/>
  <c r="C12" i="1"/>
  <c r="B9" i="1"/>
  <c r="AF21" i="1"/>
  <c r="AF20" i="1"/>
  <c r="AF22" i="1"/>
  <c r="AF23" i="1"/>
  <c r="C9" i="1" l="1"/>
  <c r="I80" i="1" s="1"/>
  <c r="F9" i="1" s="1"/>
  <c r="E9" i="1"/>
  <c r="AH23" i="1"/>
  <c r="AG23" i="1"/>
  <c r="AH22" i="1"/>
  <c r="AG22" i="1"/>
  <c r="N23" i="1"/>
  <c r="AH20" i="1"/>
  <c r="AG20" i="1"/>
  <c r="AG21" i="1"/>
  <c r="AH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<sst xmlns="http://schemas.openxmlformats.org/spreadsheetml/2006/main" count="172" uniqueCount="100">
  <si>
    <t>Calculadora de Brigadeiros - Doce Lua</t>
  </si>
  <si>
    <t>Campo formulas</t>
  </si>
  <si>
    <t>peso em gramas de cada acabamento</t>
  </si>
  <si>
    <t>peso total brigadeiro</t>
  </si>
  <si>
    <t>subtraçao do peso do acabamento</t>
  </si>
  <si>
    <t>Valor total adicionando reduçao por unid</t>
  </si>
  <si>
    <t>Tipo de Receita á confeccionar:</t>
  </si>
  <si>
    <t>Geléia de Morango</t>
  </si>
  <si>
    <t>Quantidade redução pós cozimento</t>
  </si>
  <si>
    <t>Quantidade em cada caixa Leite Condensado:</t>
  </si>
  <si>
    <t>Quantidade em cada caixa Creme de Leite</t>
  </si>
  <si>
    <t>Valor pos cozimento multiplicado pela porcentagem de cada ingrediente para receita de Recheios para Bolos</t>
  </si>
  <si>
    <t>Valor pos cozimento multiplicado pela porcentagem de cada ingrediente para receita de brigadeiros</t>
  </si>
  <si>
    <t>Valor somado de cada ingrediente PRE cozido, considerando 3% de segurança</t>
  </si>
  <si>
    <t>Tipos de Receitas</t>
  </si>
  <si>
    <t>Porcentagem perca pos cozimento entre as receitas</t>
  </si>
  <si>
    <t>Valor necessario pos cozimento adicionando a perca para cada receita</t>
  </si>
  <si>
    <t>Quantidade necessária Receita total</t>
  </si>
  <si>
    <t>Porcentagem quantidade Leite condensado em cada Receita 1x1 cx</t>
  </si>
  <si>
    <t>Creme de Leite</t>
  </si>
  <si>
    <t>Brigadeiros</t>
  </si>
  <si>
    <t>Porcentagem quantidade Creme de Leite em cada Receita 1x1 cx</t>
  </si>
  <si>
    <t>Leite Condensado</t>
  </si>
  <si>
    <t>Recheios para Bolos</t>
  </si>
  <si>
    <t>Quantidade de opçoes de sabores</t>
  </si>
  <si>
    <t>tradicional</t>
  </si>
  <si>
    <t>soma total de opçoes</t>
  </si>
  <si>
    <t>Divisao entre opçoes para cada modelo</t>
  </si>
  <si>
    <t>Quantos brigadeiros com acabamento de:</t>
  </si>
  <si>
    <t>Quantidade necessária ingredientes - Massa Branca</t>
  </si>
  <si>
    <t>Quantidade por Caixa</t>
  </si>
  <si>
    <t/>
  </si>
  <si>
    <t>Cacau em pó por colher de sopa</t>
  </si>
  <si>
    <t>Calculo 2</t>
  </si>
  <si>
    <t>Leite condensado para cada receita PRE cozimento</t>
  </si>
  <si>
    <t>Leite em pó - Massa preta</t>
  </si>
  <si>
    <t>Quantidade unitária e repartições de brigadeiros</t>
  </si>
  <si>
    <t>Brigadeiro Branco</t>
  </si>
  <si>
    <t>Novo total somando 3% segurança PRE Cozimento para cada receita</t>
  </si>
  <si>
    <t>Granulado - Massa Preta</t>
  </si>
  <si>
    <t>Titulo sabor</t>
  </si>
  <si>
    <t>Acabamento</t>
  </si>
  <si>
    <t>Casadinho?</t>
  </si>
  <si>
    <t>Quantidade em Unidade para Cada Tipo de Brigadeiro</t>
  </si>
  <si>
    <t>Quantidade perca</t>
  </si>
  <si>
    <t>Miçanguinhas - Massa preta</t>
  </si>
  <si>
    <t>Pos cozimento meta branco</t>
  </si>
  <si>
    <t>Leite em pó - Massa Branca</t>
  </si>
  <si>
    <t>Açúcar - Massa Branca</t>
  </si>
  <si>
    <t>inverso porcentagem restante</t>
  </si>
  <si>
    <t>Creme de leite para cada receita PRE cozimento</t>
  </si>
  <si>
    <t>Miçanguinhas - Massa Branca</t>
  </si>
  <si>
    <t>Casadinho Leite em pó / Açúcar</t>
  </si>
  <si>
    <t>total pre cozimento necessário brigadeiro branco:</t>
  </si>
  <si>
    <t>Açúcar - Massa Preta</t>
  </si>
  <si>
    <t>porcentagem segurança sobra:</t>
  </si>
  <si>
    <t>Miçanguinhas</t>
  </si>
  <si>
    <t xml:space="preserve">valor para soma de pre cozimento com porcentagem segurança </t>
  </si>
  <si>
    <t>Leite em pó</t>
  </si>
  <si>
    <t>total pre cozimento necessário com segurança:</t>
  </si>
  <si>
    <t>soma total</t>
  </si>
  <si>
    <t>Brigadeiro Preto</t>
  </si>
  <si>
    <t>Modelos disponíveis</t>
  </si>
  <si>
    <t xml:space="preserve">peso total brigadeiro adicionando redução </t>
  </si>
  <si>
    <t>Pos cozimento meta preto</t>
  </si>
  <si>
    <t>Granulado</t>
  </si>
  <si>
    <t>Diferença de modelos de massas:</t>
  </si>
  <si>
    <t>Quantidade em Gramas de massa para cada tipo:</t>
  </si>
  <si>
    <t>Massa Brigadeiro Branco</t>
  </si>
  <si>
    <t>Massa Brigadeiro Preto</t>
  </si>
  <si>
    <t>Calculo porcentagem cada ingred Calculo 3</t>
  </si>
  <si>
    <t>branco</t>
  </si>
  <si>
    <t>total leite condensado/total receita</t>
  </si>
  <si>
    <t>preto</t>
  </si>
  <si>
    <t>total creme de leite/total receita</t>
  </si>
  <si>
    <t>receita pre cozimento brigadeiro branco</t>
  </si>
  <si>
    <t>resultado leite condensado</t>
  </si>
  <si>
    <t>soma meta em gramas de brigadeiros pretos</t>
  </si>
  <si>
    <t>resultado creme de leite</t>
  </si>
  <si>
    <t>soma meta em gramas de brigadeiros brancos</t>
  </si>
  <si>
    <t>Brigadeiro preto</t>
  </si>
  <si>
    <t xml:space="preserve">total cacau em pó </t>
  </si>
  <si>
    <t>receita pre cozimento brigadeiro preto</t>
  </si>
  <si>
    <t>resultado cacau em pó</t>
  </si>
  <si>
    <t>cada colher de sopa contem 5g cacau</t>
  </si>
  <si>
    <t>Quantidade colher de sopa de cacau na receita</t>
  </si>
  <si>
    <t>Calculo 4 - Recheios para Bolos</t>
  </si>
  <si>
    <t>Calculo porcentagem cada ingred Calculo 4</t>
  </si>
  <si>
    <t>receita pre Recheios para Bolos</t>
  </si>
  <si>
    <t>cacau recheio para bolo</t>
  </si>
  <si>
    <t>Calculo 5</t>
  </si>
  <si>
    <t>total pre cozimento necessário geleia de morango:</t>
  </si>
  <si>
    <t>Calculo porcentagem cada ingred Calculo 5</t>
  </si>
  <si>
    <t>total Morango/total receita</t>
  </si>
  <si>
    <t>total açúcar/total receita</t>
  </si>
  <si>
    <t>resultado morango</t>
  </si>
  <si>
    <t xml:space="preserve">resultado açúcar </t>
  </si>
  <si>
    <t>n/a</t>
  </si>
  <si>
    <t>Quantidade em unidades Brigadeiro</t>
  </si>
  <si>
    <t>Quantidade necessária ingredientes - Massa Preta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</si>
</sst>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.0"/>
  </numFmts>
  <fonts count="18" x14ac:knownFonts="1">
    <font>
      <sz val="10"/>
      <color rgb="FF000000"/>
      <name val="Roboto"/>
    </font>
    <font>
      <b/>
      <sz val="16"/>
      <color rgb="FFFFFFFF"/>
      <name val="Georgia"/>
    </font>
    <font>
      <b/>
      <sz val="12"/>
      <name val="Georgia"/>
    </font>
    <font>
      <sz val="10"/>
      <name val="Roboto"/>
    </font>
    <font>
      <b/>
      <sz val="15"/>
      <name val="Georgia"/>
    </font>
    <font>
      <b/>
      <sz val="8"/>
      <name val="Courier New"/>
    </font>
    <font>
      <b/>
      <sz val="9"/>
      <name val="Courier New"/>
    </font>
    <font>
      <sz val="15"/>
      <name val="Roboto"/>
    </font>
    <font>
      <b/>
      <sz val="11"/>
      <name val="Courier New"/>
    </font>
    <font>
      <sz val="10"/>
      <name val="Roboto"/>
    </font>
    <font>
      <b/>
      <sz val="10"/>
      <name val="Roboto"/>
    </font>
    <font>
      <b/>
      <sz val="10"/>
      <name val="Courier New"/>
    </font>
    <font>
      <b/>
      <sz val="14"/>
      <name val="Roboto"/>
    </font>
    <font>
      <b/>
      <sz val="11"/>
      <name val="Georgia"/>
    </font>
    <font>
      <sz val="10"/>
      <name val="Roboto"/>
    </font>
    <font>
      <sz val="10"/>
      <color rgb="FFEE4675"/>
      <name val="Roboto"/>
    </font>
    <font>
      <b/>
      <sz val="9"/>
      <name val="Courier New"/>
      <family val="3"/>
    </font>
    <font>
      <sz val="8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763E8D"/>
        <bgColor rgb="FF763E8D"/>
      </patternFill>
    </fill>
    <fill>
      <patternFill patternType="solid">
        <fgColor rgb="FF9BDEB4"/>
        <bgColor rgb="FF9BDEB4"/>
      </patternFill>
    </fill>
    <fill>
      <patternFill patternType="solid">
        <fgColor rgb="FFF1C40F"/>
        <bgColor rgb="FFF1C40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>
      <alignment vertical="top"/>
    </xf>
  </cellStyleXfs>
  <cellXfs count="107">
    <xf numFmtId="0" fontId="0" fillId="0" borderId="0" xfId="0">
      <alignment vertical="top"/>
    </xf>
    <xf numFmtId="0" fontId="3" fillId="0" borderId="0" xfId="0" applyFont="1">
      <alignment vertical="top"/>
    </xf>
    <xf numFmtId="0" fontId="4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0" xfId="0" applyFont="1">
      <alignment vertical="top"/>
    </xf>
    <xf numFmtId="0" fontId="9" fillId="0" borderId="0" xfId="0" applyFont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165" fontId="12" fillId="4" borderId="18" xfId="0" applyNumberFormat="1" applyFont="1" applyFill="1" applyBorder="1" applyAlignment="1">
      <alignment horizontal="center" vertical="center"/>
    </xf>
    <xf numFmtId="165" fontId="9" fillId="0" borderId="0" xfId="0" applyNumberFormat="1" applyFont="1">
      <alignment vertical="top"/>
    </xf>
    <xf numFmtId="164" fontId="9" fillId="0" borderId="0" xfId="0" applyNumberFormat="1" applyFont="1">
      <alignment vertical="top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64" fontId="9" fillId="0" borderId="20" xfId="0" applyNumberFormat="1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0" fontId="9" fillId="5" borderId="0" xfId="0" applyFont="1" applyFill="1">
      <alignment vertical="top"/>
    </xf>
    <xf numFmtId="9" fontId="9" fillId="0" borderId="0" xfId="0" applyNumberFormat="1" applyFont="1">
      <alignment vertical="top"/>
    </xf>
    <xf numFmtId="0" fontId="9" fillId="6" borderId="0" xfId="0" applyFont="1" applyFill="1">
      <alignment vertical="top"/>
    </xf>
    <xf numFmtId="0" fontId="9" fillId="0" borderId="0" xfId="0" applyFont="1">
      <alignment vertical="top"/>
    </xf>
    <xf numFmtId="0" fontId="15" fillId="0" borderId="0" xfId="0" applyFont="1">
      <alignment vertical="top"/>
    </xf>
    <xf numFmtId="0" fontId="9" fillId="0" borderId="1" xfId="0" applyFont="1" applyBorder="1">
      <alignment vertical="top"/>
    </xf>
    <xf numFmtId="0" fontId="9" fillId="0" borderId="2" xfId="0" applyFont="1" applyBorder="1">
      <alignment vertical="top"/>
    </xf>
    <xf numFmtId="0" fontId="9" fillId="0" borderId="22" xfId="0" applyFont="1" applyBorder="1">
      <alignment vertical="top"/>
    </xf>
    <xf numFmtId="0" fontId="9" fillId="0" borderId="21" xfId="0" applyFont="1" applyBorder="1">
      <alignment vertical="top"/>
    </xf>
    <xf numFmtId="0" fontId="9" fillId="0" borderId="18" xfId="0" applyFont="1" applyBorder="1">
      <alignment vertical="top"/>
    </xf>
    <xf numFmtId="0" fontId="9" fillId="0" borderId="3" xfId="0" applyFont="1" applyBorder="1">
      <alignment vertical="top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>
      <alignment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10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top" wrapText="1"/>
    </xf>
    <xf numFmtId="0" fontId="17" fillId="0" borderId="15" xfId="0" applyFont="1" applyBorder="1" applyAlignment="1">
      <alignment vertical="top" wrapText="1"/>
    </xf>
    <xf numFmtId="1" fontId="9" fillId="0" borderId="16" xfId="0" applyNumberFormat="1" applyFont="1" applyBorder="1" applyAlignment="1">
      <alignment horizontal="center" vertical="center"/>
    </xf>
    <xf numFmtId="0" fontId="3" fillId="0" borderId="24" xfId="0" applyFont="1" applyBorder="1">
      <alignment vertical="top"/>
    </xf>
    <xf numFmtId="0" fontId="3" fillId="0" borderId="26" xfId="0" applyFont="1" applyBorder="1">
      <alignment vertical="top"/>
    </xf>
    <xf numFmtId="0" fontId="3" fillId="0" borderId="27" xfId="0" applyFont="1" applyBorder="1">
      <alignment vertical="top"/>
    </xf>
    <xf numFmtId="0" fontId="9" fillId="0" borderId="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13" fillId="0" borderId="30" xfId="0" applyFont="1" applyBorder="1" applyAlignment="1">
      <alignment horizontal="center" vertical="top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3" fillId="0" borderId="28" xfId="0" applyFont="1" applyBorder="1">
      <alignment vertical="top"/>
    </xf>
    <xf numFmtId="0" fontId="3" fillId="0" borderId="29" xfId="0" applyFont="1" applyBorder="1">
      <alignment vertical="top"/>
    </xf>
    <xf numFmtId="0" fontId="0" fillId="0" borderId="29" xfId="0" applyBorder="1">
      <alignment vertical="top"/>
    </xf>
    <xf numFmtId="0" fontId="0" fillId="0" borderId="30" xfId="0" applyBorder="1">
      <alignment vertical="top"/>
    </xf>
    <xf numFmtId="0" fontId="3" fillId="0" borderId="25" xfId="0" applyFont="1" applyBorder="1">
      <alignment vertical="top"/>
    </xf>
    <xf numFmtId="0" fontId="0" fillId="0" borderId="26" xfId="0" applyBorder="1">
      <alignment vertical="top"/>
    </xf>
    <xf numFmtId="0" fontId="0" fillId="0" borderId="27" xfId="0" applyBorder="1">
      <alignment vertical="top"/>
    </xf>
    <xf numFmtId="0" fontId="2" fillId="4" borderId="28" xfId="0" applyFont="1" applyFill="1" applyBorder="1" applyAlignment="1">
      <alignment horizontal="center" vertical="top"/>
    </xf>
    <xf numFmtId="0" fontId="2" fillId="4" borderId="29" xfId="0" applyFont="1" applyFill="1" applyBorder="1" applyAlignment="1">
      <alignment horizontal="center" vertical="top"/>
    </xf>
    <xf numFmtId="0" fontId="2" fillId="4" borderId="30" xfId="0" applyFont="1" applyFill="1" applyBorder="1" applyAlignment="1">
      <alignment horizontal="center" vertical="top"/>
    </xf>
    <xf numFmtId="0" fontId="11" fillId="4" borderId="24" xfId="0" applyFont="1" applyFill="1" applyBorder="1" applyAlignment="1">
      <alignment horizontal="center" vertical="center" wrapText="1"/>
    </xf>
    <xf numFmtId="164" fontId="12" fillId="4" borderId="17" xfId="0" applyNumberFormat="1" applyFont="1" applyFill="1" applyBorder="1" applyAlignment="1">
      <alignment horizontal="center" vertical="center"/>
    </xf>
    <xf numFmtId="165" fontId="12" fillId="4" borderId="24" xfId="0" applyNumberFormat="1" applyFont="1" applyFill="1" applyBorder="1" applyAlignment="1">
      <alignment horizontal="center" vertical="center"/>
    </xf>
    <xf numFmtId="164" fontId="12" fillId="4" borderId="0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top"/>
    </xf>
    <xf numFmtId="0" fontId="2" fillId="0" borderId="29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0" fillId="7" borderId="24" xfId="0" applyFill="1" applyBorder="1">
      <alignment vertical="top"/>
    </xf>
    <xf numFmtId="0" fontId="3" fillId="7" borderId="24" xfId="0" applyFont="1" applyFill="1" applyBorder="1">
      <alignment vertical="top"/>
    </xf>
    <xf numFmtId="0" fontId="11" fillId="0" borderId="23" xfId="0" applyFont="1" applyBorder="1" applyAlignment="1">
      <alignment horizontal="center" vertical="center" wrapText="1"/>
    </xf>
    <xf numFmtId="165" fontId="9" fillId="0" borderId="32" xfId="0" applyNumberFormat="1" applyFont="1" applyBorder="1" applyAlignment="1">
      <alignment horizontal="center" vertical="center"/>
    </xf>
    <xf numFmtId="0" fontId="9" fillId="8" borderId="0" xfId="0" applyFont="1" applyFill="1" applyAlignment="1">
      <alignment horizontal="center" vertical="top"/>
    </xf>
    <xf numFmtId="0" fontId="0" fillId="8" borderId="0" xfId="0" applyFill="1">
      <alignment vertical="top"/>
    </xf>
    <xf numFmtId="0" fontId="3" fillId="8" borderId="0" xfId="0" applyFont="1" applyFill="1">
      <alignment vertical="top"/>
    </xf>
    <xf numFmtId="0" fontId="9" fillId="8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top"/>
    </xf>
    <xf numFmtId="1" fontId="9" fillId="9" borderId="0" xfId="0" applyNumberFormat="1" applyFont="1" applyFill="1" applyAlignment="1">
      <alignment horizontal="center" vertical="top"/>
    </xf>
    <xf numFmtId="0" fontId="0" fillId="7" borderId="33" xfId="0" applyFill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14" fillId="7" borderId="33" xfId="0" applyFont="1" applyFill="1" applyBorder="1" applyAlignment="1">
      <alignment horizontal="center" vertical="top"/>
    </xf>
    <xf numFmtId="0" fontId="14" fillId="0" borderId="33" xfId="0" applyFont="1" applyBorder="1" applyAlignment="1">
      <alignment horizontal="center" vertical="top"/>
    </xf>
    <xf numFmtId="0" fontId="14" fillId="0" borderId="34" xfId="0" applyFont="1" applyBorder="1" applyAlignment="1">
      <alignment horizontal="center" vertical="top"/>
    </xf>
    <xf numFmtId="165" fontId="9" fillId="7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0" fillId="10" borderId="33" xfId="0" applyFill="1" applyBorder="1">
      <alignment vertical="top"/>
    </xf>
    <xf numFmtId="0" fontId="3" fillId="10" borderId="33" xfId="0" applyFont="1" applyFill="1" applyBorder="1">
      <alignment vertical="top"/>
    </xf>
    <xf numFmtId="0" fontId="0" fillId="11" borderId="33" xfId="0" applyFill="1" applyBorder="1">
      <alignment vertical="top"/>
    </xf>
    <xf numFmtId="0" fontId="3" fillId="11" borderId="33" xfId="0" applyFont="1" applyFill="1" applyBorder="1">
      <alignment vertical="top"/>
    </xf>
    <xf numFmtId="0" fontId="0" fillId="11" borderId="34" xfId="0" applyFill="1" applyBorder="1">
      <alignment vertical="top"/>
    </xf>
    <xf numFmtId="0" fontId="3" fillId="11" borderId="34" xfId="0" applyFont="1" applyFill="1" applyBorder="1">
      <alignment vertical="top"/>
    </xf>
  </cellXfs>
  <cellStyles count="1">
    <cellStyle name="Normal" xfId="0" builtinId="0" customBuiltin="1"/>
  </cellStyles>
  <dxfs count="1003"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7" tint="-0.499984740745262"/>
      </font>
      <fill>
        <patternFill>
          <bgColor theme="7" tint="-0.499984740745262"/>
        </patternFill>
      </fill>
      <border>
        <vertical/>
        <horizontal/>
      </border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"/>
  <sheetViews>
    <sheetView tabSelected="1" defaultGridColor="0" colorId="9" workbookViewId="0">
      <selection activeCell="AK25" sqref="AK25"/>
    </sheetView>
  </sheetViews>
  <sheetFormatPr defaultRowHeight="14.1" customHeight="1" x14ac:dyDescent="0.2"/>
  <cols>
    <col min="1" max="1" width="3.5703125" customWidth="1"/>
    <col min="2" max="5" width="19.85546875" customWidth="1"/>
    <col min="6" max="6" width="13.28515625"/>
    <col min="7" max="7" width="3.42578125" customWidth="1"/>
    <col min="8" max="36" width="9.140625" hidden="1" customWidth="1"/>
    <col min="37" max="1028" width="13.28515625"/>
  </cols>
  <sheetData>
    <row r="1" spans="1:36" ht="20.25" x14ac:dyDescent="0.2">
      <c r="A1" s="84"/>
      <c r="B1" s="39" t="s">
        <v>0</v>
      </c>
      <c r="C1" s="40"/>
      <c r="D1" s="40"/>
      <c r="E1" s="40"/>
      <c r="F1" s="40"/>
      <c r="G1" s="84"/>
      <c r="H1" t="s">
        <v>1</v>
      </c>
      <c r="T1" t="s">
        <v>2</v>
      </c>
      <c r="U1" t="s">
        <v>3</v>
      </c>
      <c r="V1" t="s">
        <v>4</v>
      </c>
      <c r="X1" t="s">
        <v>5</v>
      </c>
    </row>
    <row r="2" spans="1:36" ht="20.100000000000001" customHeight="1" x14ac:dyDescent="0.2">
      <c r="A2" s="84"/>
      <c r="B2" s="37" t="s">
        <v>6</v>
      </c>
      <c r="C2" s="38"/>
      <c r="D2" s="38"/>
      <c r="E2" s="43" t="s">
        <v>20</v>
      </c>
      <c r="F2" s="44"/>
      <c r="G2" s="84"/>
      <c r="I2" s="1"/>
    </row>
    <row r="3" spans="1:36" ht="20.100000000000001" customHeight="1" x14ac:dyDescent="0.2">
      <c r="A3" s="84"/>
      <c r="B3" s="99" t="str">
        <f>IF(E2="Recheios para Bolos","Quantidade em Gramas necessário (Valor pós cozimento):","Peso Bolo Final em Gramas:")</f>
        <v>Peso Bolo Final em Gramas:</v>
      </c>
      <c r="C3" s="100"/>
      <c r="D3" s="2">
        <v>3000</v>
      </c>
      <c r="E3" s="41" t="s">
        <v>8</v>
      </c>
      <c r="F3" s="42"/>
      <c r="G3" s="84"/>
      <c r="H3" t="s">
        <v>9</v>
      </c>
      <c r="I3" s="1">
        <v>395</v>
      </c>
      <c r="AJ3">
        <f>D3/6.66666</f>
        <v>450.00045000044997</v>
      </c>
    </row>
    <row r="4" spans="1:36" ht="19.5" x14ac:dyDescent="0.2">
      <c r="A4" s="84"/>
      <c r="B4" s="48" t="s">
        <v>98</v>
      </c>
      <c r="C4" s="47"/>
      <c r="D4" s="3">
        <v>200</v>
      </c>
      <c r="E4" s="35" t="str">
        <f>_xlfn.IFS(E2="Brigadeiros","32,18% Massa Branca",E2="Recheios para Bolos","20%",E2="Geléia de Morango","40%")</f>
        <v>32,18% Massa Branca</v>
      </c>
      <c r="F4" s="36"/>
      <c r="G4" s="85"/>
      <c r="H4" s="1" t="s">
        <v>10</v>
      </c>
      <c r="I4" s="1">
        <v>200</v>
      </c>
    </row>
    <row r="5" spans="1:36" ht="15.75" x14ac:dyDescent="0.2">
      <c r="A5" s="84"/>
      <c r="B5" s="49" t="str">
        <f>IF(E2="Geléia de Morango","Quantidade necessario em gramas:","Quantidade em Gramas necessário (Valor pré cozimento):")</f>
        <v>Quantidade em Gramas necessário (Valor pré cozimento):</v>
      </c>
      <c r="C5" s="50"/>
      <c r="D5" s="51">
        <f>IF(E2="Geléia de Morango",AJ3,D36+D37)</f>
        <v>4101.7422188040027</v>
      </c>
      <c r="E5" s="35" t="str">
        <f>IF(E2="Brigadeiros","23,1% Massa Preta"," ")</f>
        <v>23,1% Massa Preta</v>
      </c>
      <c r="F5" s="36"/>
      <c r="G5" s="84"/>
      <c r="J5" s="1"/>
      <c r="K5" s="1"/>
      <c r="L5" s="1"/>
      <c r="M5" s="1"/>
    </row>
    <row r="6" spans="1:36" ht="15.75" customHeight="1" x14ac:dyDescent="0.2">
      <c r="A6" s="84"/>
      <c r="B6" s="87" t="str">
        <f>IF(E2="Geléia de Morango","Quantidade em gramas dividido por 2 camadas:"," ")</f>
        <v xml:space="preserve"> </v>
      </c>
      <c r="C6" s="87"/>
      <c r="D6" s="88" t="str">
        <f>IF(E2="Geléia de Morango",D5/2," ")</f>
        <v xml:space="preserve"> </v>
      </c>
      <c r="E6" s="83"/>
      <c r="F6" s="84"/>
      <c r="G6" s="84"/>
      <c r="J6" s="1"/>
      <c r="K6" s="1" t="s">
        <v>11</v>
      </c>
      <c r="L6" s="1" t="s">
        <v>12</v>
      </c>
      <c r="M6" s="1" t="s">
        <v>13</v>
      </c>
      <c r="N6" t="s">
        <v>14</v>
      </c>
      <c r="O6" t="s">
        <v>15</v>
      </c>
      <c r="P6" t="s">
        <v>16</v>
      </c>
      <c r="AJ6" s="4"/>
    </row>
    <row r="7" spans="1:36" ht="15" x14ac:dyDescent="0.2">
      <c r="A7" s="84"/>
      <c r="B7" s="69" t="s">
        <v>17</v>
      </c>
      <c r="C7" s="70"/>
      <c r="D7" s="70"/>
      <c r="E7" s="71"/>
      <c r="F7" s="85"/>
      <c r="G7" s="84"/>
      <c r="H7" t="s">
        <v>18</v>
      </c>
      <c r="I7">
        <v>65</v>
      </c>
      <c r="J7" s="1" t="s">
        <v>19</v>
      </c>
      <c r="K7" s="1">
        <f>Q7*I7%</f>
        <v>2547.6433618309625</v>
      </c>
      <c r="L7" s="1">
        <f>Q8*I7%</f>
        <v>2340</v>
      </c>
      <c r="M7" s="45">
        <f>D12+B12</f>
        <v>2477.1453848422293</v>
      </c>
      <c r="N7" t="s">
        <v>20</v>
      </c>
      <c r="O7">
        <v>28</v>
      </c>
      <c r="P7">
        <f>AC29*O7%</f>
        <v>1097.4463712502609</v>
      </c>
      <c r="Q7">
        <f>AC29</f>
        <v>3919.4513258937886</v>
      </c>
    </row>
    <row r="8" spans="1:36" ht="27" customHeight="1" x14ac:dyDescent="0.2">
      <c r="A8" s="84"/>
      <c r="B8" s="6" t="str">
        <f>IF(E2="Geléia de Morango","Morango","Leite Condensado")</f>
        <v>Leite Condensado</v>
      </c>
      <c r="C8" s="72" t="str">
        <f>IF(E2="Geléia de Morango","Quantidade em Gramas","Quantidade por Caixa")</f>
        <v>Quantidade por Caixa</v>
      </c>
      <c r="D8" s="7" t="str">
        <f>IF(E2="Geléia de Morango","Açúcar","Creme de Leite")</f>
        <v>Creme de Leite</v>
      </c>
      <c r="E8" s="72" t="str">
        <f>C8</f>
        <v>Quantidade por Caixa</v>
      </c>
      <c r="F8" s="8" t="str">
        <f>IF(E2="Geléia de Morango"," ","Cacau em pó por colher de sopa")</f>
        <v>Cacau em pó por colher de sopa</v>
      </c>
      <c r="G8" s="85"/>
      <c r="H8" s="1" t="s">
        <v>21</v>
      </c>
      <c r="I8">
        <v>32</v>
      </c>
      <c r="J8" s="1" t="s">
        <v>22</v>
      </c>
      <c r="K8" s="1">
        <f>Q7*I8%</f>
        <v>1254.2244242860124</v>
      </c>
      <c r="L8">
        <f>Q8*I8%</f>
        <v>1152</v>
      </c>
      <c r="M8" s="45"/>
      <c r="N8" t="s">
        <v>23</v>
      </c>
      <c r="O8">
        <v>20</v>
      </c>
      <c r="P8">
        <f>D3*O8%</f>
        <v>600</v>
      </c>
      <c r="Q8">
        <f>D3+P8</f>
        <v>3600</v>
      </c>
      <c r="S8" t="s">
        <v>24</v>
      </c>
    </row>
    <row r="9" spans="1:36" ht="18.75" x14ac:dyDescent="0.2">
      <c r="A9" s="84"/>
      <c r="B9" s="73">
        <f>_xlfn.IFS(E2="Brigadeiros",B12+B15,E2="Recheios para Bolos",I77,E2="Geléia de Morango",I97)</f>
        <v>2718.8799249514409</v>
      </c>
      <c r="C9" s="74">
        <f>IF(E2="Brigadeiros",C12+C15,B9/I3)</f>
        <v>6.8832403163327616</v>
      </c>
      <c r="D9" s="75">
        <f>_xlfn.IFS(E2="Brigadeiros",D12+D15,E2="Recheios para Bolos",I77,E2="Geléia de Morango",I98)</f>
        <v>1376.0654858952089</v>
      </c>
      <c r="E9" s="74">
        <f>IF(E2="Brigadeiros",C12+C15,D9/I4)</f>
        <v>6.8832403163327616</v>
      </c>
      <c r="F9" s="9">
        <f>IF(E2="Brigadeiros",F15,I80)</f>
        <v>1.3593615914705499</v>
      </c>
      <c r="G9" s="84"/>
      <c r="S9" t="str">
        <f>_xlfn.UNIQUE(B23)</f>
        <v>tradicional</v>
      </c>
      <c r="U9" t="s">
        <v>26</v>
      </c>
      <c r="V9" t="s">
        <v>27</v>
      </c>
      <c r="AA9" t="s">
        <v>28</v>
      </c>
      <c r="AG9" t="s">
        <v>22</v>
      </c>
      <c r="AH9" t="s">
        <v>19</v>
      </c>
    </row>
    <row r="10" spans="1:36" ht="17.100000000000001" customHeight="1" x14ac:dyDescent="0.2">
      <c r="A10" s="84"/>
      <c r="B10" s="76" t="s">
        <v>29</v>
      </c>
      <c r="C10" s="77"/>
      <c r="D10" s="77"/>
      <c r="E10" s="78"/>
      <c r="F10" s="85"/>
      <c r="G10" s="84"/>
      <c r="V10" s="10"/>
      <c r="W10" s="11"/>
      <c r="X10" s="11"/>
      <c r="Y10" s="1"/>
      <c r="AE10" s="1"/>
      <c r="AF10" s="1"/>
      <c r="AG10" s="1"/>
      <c r="AH10" s="1"/>
    </row>
    <row r="11" spans="1:36" ht="27.95" customHeight="1" x14ac:dyDescent="0.2">
      <c r="A11" s="84"/>
      <c r="B11" s="12" t="s">
        <v>22</v>
      </c>
      <c r="C11" s="81" t="s">
        <v>30</v>
      </c>
      <c r="D11" s="14" t="s">
        <v>19</v>
      </c>
      <c r="E11" s="15" t="s">
        <v>30</v>
      </c>
      <c r="F11" s="85"/>
      <c r="G11" s="84"/>
      <c r="V11" s="10"/>
      <c r="W11" s="11"/>
      <c r="X11" s="11"/>
      <c r="Y11" s="1"/>
      <c r="AE11" s="1"/>
      <c r="AF11" s="1"/>
      <c r="AG11" s="1"/>
      <c r="AH11" s="1"/>
    </row>
    <row r="12" spans="1:36" ht="17.100000000000001" customHeight="1" x14ac:dyDescent="0.2">
      <c r="A12" s="84"/>
      <c r="B12" s="16">
        <f>IF(E2="Brigadeiros",I47,L22)</f>
        <v>1644.8245355352403</v>
      </c>
      <c r="C12" s="82">
        <f>B12/I3</f>
        <v>4.1641127481904823</v>
      </c>
      <c r="D12" s="17">
        <f>IF(E2="Brigadeiros",I48,L26)</f>
        <v>832.32084930698909</v>
      </c>
      <c r="E12" s="18">
        <f>D12/I4</f>
        <v>4.1616042465349459</v>
      </c>
      <c r="F12" s="85"/>
      <c r="G12" s="84"/>
      <c r="H12" t="s">
        <v>31</v>
      </c>
      <c r="V12" s="10"/>
      <c r="W12" s="11"/>
      <c r="X12" s="11"/>
      <c r="Y12" s="1"/>
      <c r="AE12" s="1"/>
      <c r="AF12" s="1"/>
      <c r="AG12" s="1"/>
      <c r="AH12" s="1"/>
    </row>
    <row r="13" spans="1:36" ht="17.100000000000001" customHeight="1" x14ac:dyDescent="0.2">
      <c r="A13" s="84"/>
      <c r="B13" s="76" t="s">
        <v>99</v>
      </c>
      <c r="C13" s="77"/>
      <c r="D13" s="77"/>
      <c r="E13" s="78"/>
      <c r="F13" s="85"/>
      <c r="G13" s="84"/>
      <c r="V13" s="10"/>
      <c r="W13" s="11"/>
      <c r="X13" s="11"/>
      <c r="Y13" s="1"/>
      <c r="AE13" s="1"/>
      <c r="AF13" s="1"/>
      <c r="AG13" s="1"/>
      <c r="AH13" s="1"/>
    </row>
    <row r="14" spans="1:36" ht="27.95" customHeight="1" x14ac:dyDescent="0.2">
      <c r="A14" s="84"/>
      <c r="B14" s="12" t="s">
        <v>22</v>
      </c>
      <c r="C14" s="81" t="s">
        <v>30</v>
      </c>
      <c r="D14" s="14" t="s">
        <v>19</v>
      </c>
      <c r="E14" s="13" t="s">
        <v>30</v>
      </c>
      <c r="F14" s="19" t="s">
        <v>32</v>
      </c>
      <c r="G14" s="84"/>
      <c r="V14" s="10"/>
      <c r="W14" s="11"/>
      <c r="X14" s="11"/>
      <c r="Y14" s="1"/>
      <c r="AE14" s="1"/>
      <c r="AF14" s="1"/>
      <c r="AG14" s="1"/>
      <c r="AH14" s="1"/>
    </row>
    <row r="15" spans="1:36" ht="17.100000000000001" customHeight="1" x14ac:dyDescent="0.2">
      <c r="A15" s="84"/>
      <c r="B15" s="20">
        <f>IF(E2="Brigadeiros",I56,L22)</f>
        <v>1074.0553894162006</v>
      </c>
      <c r="C15" s="82">
        <f>B15/I3</f>
        <v>2.7191275681422797</v>
      </c>
      <c r="D15" s="22">
        <f>IF(E2="Brigadeiros",I57,L29)</f>
        <v>543.74463658821992</v>
      </c>
      <c r="E15" s="21">
        <f>D15/I4</f>
        <v>2.7187231829410994</v>
      </c>
      <c r="F15" s="23">
        <f>I60</f>
        <v>1.3593615914705499</v>
      </c>
      <c r="G15" s="84"/>
      <c r="V15" s="10"/>
      <c r="W15" s="11"/>
      <c r="X15" s="11"/>
      <c r="Y15" s="1"/>
      <c r="AE15" s="1"/>
      <c r="AF15" s="1"/>
      <c r="AG15" s="1"/>
      <c r="AH15" s="1"/>
    </row>
    <row r="16" spans="1:36" ht="17.100000000000001" hidden="1" customHeight="1" x14ac:dyDescent="0.2">
      <c r="A16" s="84"/>
      <c r="G16" s="84"/>
      <c r="V16" s="10"/>
      <c r="W16" s="11"/>
      <c r="X16" s="11"/>
      <c r="Y16" s="1"/>
      <c r="AE16" s="1"/>
      <c r="AF16" s="1"/>
      <c r="AG16" s="1"/>
      <c r="AH16" s="1"/>
    </row>
    <row r="17" spans="1:34" ht="17.100000000000001" hidden="1" customHeight="1" x14ac:dyDescent="0.2">
      <c r="A17" s="84"/>
      <c r="G17" s="84"/>
      <c r="V17" s="10"/>
      <c r="W17" s="11"/>
      <c r="X17" s="11"/>
      <c r="Y17" s="1"/>
      <c r="AE17" s="1"/>
      <c r="AF17" s="1"/>
      <c r="AG17" s="1"/>
      <c r="AH17" s="1"/>
    </row>
    <row r="18" spans="1:34" ht="17.100000000000001" hidden="1" customHeight="1" x14ac:dyDescent="0.2">
      <c r="A18" s="84"/>
      <c r="G18" s="84"/>
      <c r="V18" s="10"/>
      <c r="W18" s="11"/>
      <c r="X18" s="11"/>
      <c r="Y18" s="1"/>
      <c r="AE18" s="1"/>
      <c r="AF18" s="1"/>
      <c r="AG18" s="1"/>
      <c r="AH18" s="1"/>
    </row>
    <row r="19" spans="1:34" ht="17.100000000000001" hidden="1" customHeight="1" x14ac:dyDescent="0.2">
      <c r="A19" s="84"/>
      <c r="B19" s="5"/>
      <c r="C19" s="5"/>
      <c r="D19" s="5"/>
      <c r="E19" s="5"/>
      <c r="G19" s="84"/>
      <c r="V19" s="10"/>
      <c r="W19" s="11"/>
      <c r="X19" s="11"/>
      <c r="Y19" s="1"/>
      <c r="AE19" s="1"/>
      <c r="AF19" s="1"/>
      <c r="AG19" s="1"/>
      <c r="AH19" s="1"/>
    </row>
    <row r="20" spans="1:34" ht="17.100000000000001" customHeight="1" x14ac:dyDescent="0.2">
      <c r="A20" s="84"/>
      <c r="B20" s="86"/>
      <c r="C20" s="86"/>
      <c r="D20" s="86"/>
      <c r="E20" s="86"/>
      <c r="F20" s="84"/>
      <c r="G20" s="84"/>
      <c r="H20" t="s">
        <v>33</v>
      </c>
      <c r="K20" t="s">
        <v>34</v>
      </c>
      <c r="S20" t="str" cm="1">
        <f t="array" ref="S20:S21">_xlfn.UNIQUE(B23:B32)</f>
        <v>tradicional</v>
      </c>
      <c r="T20">
        <f t="shared" ref="T20:T29" si="0">IF(S20="",0,1)</f>
        <v>1</v>
      </c>
      <c r="U20">
        <f>SUM(T20:T29)</f>
        <v>2</v>
      </c>
      <c r="V20" s="10">
        <f t="shared" ref="V20:V29" si="1">IF(S20="","",D$4/U$20)</f>
        <v>100</v>
      </c>
      <c r="W20" s="11">
        <f t="shared" ref="W20:W29" si="2">IF(V20="","",V20/2)</f>
        <v>50</v>
      </c>
      <c r="X20" s="11" t="str">
        <f t="shared" ref="X20:X29" si="3">LEFT(W20,4)</f>
        <v>50</v>
      </c>
      <c r="Y20" s="1" t="str">
        <f t="shared" ref="Y20:Y29" si="4">IF(X20="","",CONCATENATE(X20,"+",X20))</f>
        <v>50+50</v>
      </c>
      <c r="AA20" t="s">
        <v>35</v>
      </c>
      <c r="AB20">
        <f t="shared" ref="AB20:AB27" si="5">SUMIF(C$23:C$33,AA20,E$23:E$33)</f>
        <v>0</v>
      </c>
      <c r="AC20">
        <f t="shared" ref="AC20:AC26" si="6">AB20*AE36</f>
        <v>0</v>
      </c>
      <c r="AE20" s="1">
        <f t="shared" ref="AE20:AE22" si="7">AC20*O$7%</f>
        <v>0</v>
      </c>
      <c r="AF20" s="1">
        <f t="shared" ref="AF20:AF22" si="8">AC20+P$7</f>
        <v>1097.4463712502609</v>
      </c>
      <c r="AG20" s="1">
        <f t="shared" ref="AG20:AG22" si="9">AF20-K$8</f>
        <v>-156.77805303575155</v>
      </c>
      <c r="AH20" s="1">
        <f t="shared" ref="AH20:AH23" si="10">AF20-K$7</f>
        <v>-1450.1969905807016</v>
      </c>
    </row>
    <row r="21" spans="1:34" ht="18.75" customHeight="1" x14ac:dyDescent="0.2">
      <c r="A21" s="84"/>
      <c r="B21" s="57" t="s">
        <v>36</v>
      </c>
      <c r="C21" s="58"/>
      <c r="D21" s="58"/>
      <c r="E21" s="58"/>
      <c r="F21" s="59"/>
      <c r="G21" s="84"/>
      <c r="H21" t="s">
        <v>37</v>
      </c>
      <c r="K21" t="s">
        <v>20</v>
      </c>
      <c r="L21" s="24">
        <f>Q7-K8</f>
        <v>2665.2269016077762</v>
      </c>
      <c r="N21" t="s">
        <v>38</v>
      </c>
      <c r="S21">
        <v>0</v>
      </c>
      <c r="T21" s="1">
        <f t="shared" si="0"/>
        <v>1</v>
      </c>
      <c r="V21" s="10">
        <f t="shared" si="1"/>
        <v>100</v>
      </c>
      <c r="W21" s="11">
        <f t="shared" si="2"/>
        <v>50</v>
      </c>
      <c r="X21" s="11" t="str">
        <f t="shared" si="3"/>
        <v>50</v>
      </c>
      <c r="Y21" s="1" t="str">
        <f t="shared" si="4"/>
        <v>50+50</v>
      </c>
      <c r="AA21" t="s">
        <v>39</v>
      </c>
      <c r="AB21" s="1">
        <f t="shared" si="5"/>
        <v>100</v>
      </c>
      <c r="AC21" s="1">
        <f t="shared" si="6"/>
        <v>1560.2652450916655</v>
      </c>
      <c r="AE21" s="1">
        <f t="shared" si="7"/>
        <v>436.87426862566639</v>
      </c>
      <c r="AF21" s="1">
        <f t="shared" si="8"/>
        <v>2657.7116163419264</v>
      </c>
      <c r="AG21" s="1">
        <f t="shared" si="9"/>
        <v>1403.487192055914</v>
      </c>
      <c r="AH21" s="1">
        <f t="shared" si="10"/>
        <v>110.06825451096392</v>
      </c>
    </row>
    <row r="22" spans="1:34" ht="12.75" x14ac:dyDescent="0.2">
      <c r="A22" s="84"/>
      <c r="B22" s="60" t="s">
        <v>40</v>
      </c>
      <c r="C22" s="61" t="s">
        <v>41</v>
      </c>
      <c r="D22" s="60" t="s">
        <v>42</v>
      </c>
      <c r="E22" s="55" t="s">
        <v>43</v>
      </c>
      <c r="F22" s="56"/>
      <c r="G22" s="84"/>
      <c r="H22" t="s">
        <v>44</v>
      </c>
      <c r="I22" s="25">
        <v>0.32179999999999997</v>
      </c>
      <c r="K22" t="s">
        <v>23</v>
      </c>
      <c r="L22" s="26">
        <f>Q8-L8</f>
        <v>2448</v>
      </c>
      <c r="N22" t="s">
        <v>20</v>
      </c>
      <c r="O22" t="s">
        <v>23</v>
      </c>
      <c r="T22" s="1">
        <f t="shared" si="0"/>
        <v>0</v>
      </c>
      <c r="V22" s="10" t="str">
        <f t="shared" si="1"/>
        <v/>
      </c>
      <c r="W22" s="11" t="str">
        <f t="shared" si="2"/>
        <v/>
      </c>
      <c r="X22" s="11" t="str">
        <f t="shared" si="3"/>
        <v/>
      </c>
      <c r="Y22" s="1" t="str">
        <f t="shared" si="4"/>
        <v/>
      </c>
      <c r="AA22" t="s">
        <v>45</v>
      </c>
      <c r="AB22" s="1">
        <f t="shared" si="5"/>
        <v>0</v>
      </c>
      <c r="AC22" s="1">
        <f t="shared" si="6"/>
        <v>0</v>
      </c>
      <c r="AE22" s="1">
        <f t="shared" si="7"/>
        <v>0</v>
      </c>
      <c r="AF22">
        <f t="shared" si="8"/>
        <v>1097.4463712502609</v>
      </c>
      <c r="AG22">
        <f t="shared" si="9"/>
        <v>-156.77805303575155</v>
      </c>
      <c r="AH22" s="1">
        <f t="shared" si="10"/>
        <v>-1450.1969905807016</v>
      </c>
    </row>
    <row r="23" spans="1:34" ht="12.75" x14ac:dyDescent="0.2">
      <c r="A23" s="84"/>
      <c r="B23" s="101" t="s">
        <v>25</v>
      </c>
      <c r="C23" s="101" t="s">
        <v>39</v>
      </c>
      <c r="D23" s="89" t="str">
        <f t="shared" ref="D23:D32" si="11">IF(C23="Casadinho Leite em pó / Açúcar","Sim","Não")</f>
        <v>Não</v>
      </c>
      <c r="E23" s="94">
        <f t="shared" ref="E23:E33" si="12">V20</f>
        <v>100</v>
      </c>
      <c r="F23" s="79" t="b">
        <f>IF(D23="Sim",Y20)</f>
        <v>0</v>
      </c>
      <c r="G23" s="84"/>
      <c r="H23" t="s">
        <v>46</v>
      </c>
      <c r="I23">
        <f>AF48</f>
        <v>1600</v>
      </c>
      <c r="N23" s="45">
        <f>L21+L25</f>
        <v>4037.0348656706024</v>
      </c>
      <c r="O23" s="45">
        <f>L22+L26</f>
        <v>3708</v>
      </c>
      <c r="T23" s="1">
        <f t="shared" si="0"/>
        <v>0</v>
      </c>
      <c r="V23" s="10" t="str">
        <f t="shared" si="1"/>
        <v/>
      </c>
      <c r="W23" s="11" t="str">
        <f t="shared" si="2"/>
        <v/>
      </c>
      <c r="X23" s="11" t="str">
        <f t="shared" si="3"/>
        <v/>
      </c>
      <c r="Y23" s="1" t="str">
        <f t="shared" si="4"/>
        <v/>
      </c>
      <c r="AA23" t="s">
        <v>47</v>
      </c>
      <c r="AB23" s="1">
        <f t="shared" si="5"/>
        <v>0</v>
      </c>
      <c r="AC23" s="1">
        <f t="shared" si="6"/>
        <v>0</v>
      </c>
      <c r="AE23" s="1">
        <f>AC29*O7%</f>
        <v>1097.4463712502609</v>
      </c>
      <c r="AF23">
        <f>AC29+P7</f>
        <v>5016.8976971440497</v>
      </c>
      <c r="AG23">
        <f>AF23-K8</f>
        <v>3762.6732728580373</v>
      </c>
      <c r="AH23">
        <f t="shared" si="10"/>
        <v>2469.2543353130873</v>
      </c>
    </row>
    <row r="24" spans="1:34" ht="12.75" x14ac:dyDescent="0.2">
      <c r="A24" s="84"/>
      <c r="B24" s="103"/>
      <c r="C24" s="104" t="s">
        <v>48</v>
      </c>
      <c r="D24" s="90" t="str">
        <f t="shared" si="11"/>
        <v>Não</v>
      </c>
      <c r="E24" s="95">
        <f t="shared" si="12"/>
        <v>100</v>
      </c>
      <c r="F24" s="52" t="b">
        <f t="shared" ref="F24:F32" si="13">IF(D24="Sim",Y21)</f>
        <v>0</v>
      </c>
      <c r="G24" s="84"/>
      <c r="H24" t="s">
        <v>49</v>
      </c>
      <c r="I24">
        <v>0.67820000000000003</v>
      </c>
      <c r="J24" s="1"/>
      <c r="K24" s="1" t="s">
        <v>50</v>
      </c>
      <c r="L24" s="1"/>
      <c r="N24" s="45"/>
      <c r="O24" s="46"/>
      <c r="T24" s="1">
        <f t="shared" si="0"/>
        <v>0</v>
      </c>
      <c r="V24" s="10" t="str">
        <f t="shared" si="1"/>
        <v/>
      </c>
      <c r="W24" s="11" t="str">
        <f t="shared" si="2"/>
        <v/>
      </c>
      <c r="X24" s="11" t="str">
        <f t="shared" si="3"/>
        <v/>
      </c>
      <c r="Y24" s="1" t="str">
        <f t="shared" si="4"/>
        <v/>
      </c>
      <c r="AA24" t="s">
        <v>51</v>
      </c>
      <c r="AB24" s="1">
        <f t="shared" si="5"/>
        <v>0</v>
      </c>
      <c r="AC24" s="1">
        <f t="shared" si="6"/>
        <v>0</v>
      </c>
    </row>
    <row r="25" spans="1:34" ht="12.75" x14ac:dyDescent="0.2">
      <c r="A25" s="84"/>
      <c r="B25" s="101"/>
      <c r="C25" s="102" t="s">
        <v>52</v>
      </c>
      <c r="D25" s="91" t="str">
        <f t="shared" si="11"/>
        <v>Sim</v>
      </c>
      <c r="E25" s="94" t="str">
        <f t="shared" si="12"/>
        <v/>
      </c>
      <c r="F25" s="80" t="str">
        <f t="shared" si="13"/>
        <v/>
      </c>
      <c r="G25" s="84"/>
      <c r="H25" t="s">
        <v>53</v>
      </c>
      <c r="I25">
        <f>I23/I24</f>
        <v>2359.1860808021233</v>
      </c>
      <c r="J25" s="1"/>
      <c r="K25" s="1" t="s">
        <v>20</v>
      </c>
      <c r="L25" s="24">
        <f>Q7-K7</f>
        <v>1371.8079640628262</v>
      </c>
      <c r="T25" s="1">
        <f t="shared" si="0"/>
        <v>0</v>
      </c>
      <c r="V25" s="10" t="str">
        <f t="shared" si="1"/>
        <v/>
      </c>
      <c r="W25" s="11" t="str">
        <f t="shared" si="2"/>
        <v/>
      </c>
      <c r="X25" s="11" t="str">
        <f t="shared" si="3"/>
        <v/>
      </c>
      <c r="Y25" s="1" t="str">
        <f t="shared" si="4"/>
        <v/>
      </c>
      <c r="AA25" t="s">
        <v>54</v>
      </c>
      <c r="AB25" s="1">
        <f t="shared" si="5"/>
        <v>0</v>
      </c>
      <c r="AC25" s="1">
        <f t="shared" si="6"/>
        <v>0</v>
      </c>
    </row>
    <row r="26" spans="1:34" ht="12.75" x14ac:dyDescent="0.2">
      <c r="A26" s="84"/>
      <c r="B26" s="103"/>
      <c r="C26" s="104" t="s">
        <v>52</v>
      </c>
      <c r="D26" s="92" t="str">
        <f t="shared" si="11"/>
        <v>Sim</v>
      </c>
      <c r="E26" s="95" t="str">
        <f t="shared" si="12"/>
        <v/>
      </c>
      <c r="F26" s="52" t="str">
        <f t="shared" si="13"/>
        <v/>
      </c>
      <c r="G26" s="84"/>
      <c r="H26" t="s">
        <v>55</v>
      </c>
      <c r="I26" s="27">
        <v>5</v>
      </c>
      <c r="J26" s="1"/>
      <c r="K26" s="1" t="s">
        <v>23</v>
      </c>
      <c r="L26" s="26">
        <f>Q8-L7</f>
        <v>1260</v>
      </c>
      <c r="T26" s="1">
        <f t="shared" si="0"/>
        <v>0</v>
      </c>
      <c r="V26" s="10" t="str">
        <f t="shared" si="1"/>
        <v/>
      </c>
      <c r="W26" s="11" t="str">
        <f t="shared" si="2"/>
        <v/>
      </c>
      <c r="X26" s="11" t="str">
        <f t="shared" si="3"/>
        <v/>
      </c>
      <c r="Y26" s="1" t="str">
        <f t="shared" si="4"/>
        <v/>
      </c>
      <c r="AA26" t="s">
        <v>48</v>
      </c>
      <c r="AB26" s="1">
        <f t="shared" si="5"/>
        <v>100</v>
      </c>
      <c r="AC26" s="1">
        <f t="shared" si="6"/>
        <v>2359.1860808021229</v>
      </c>
    </row>
    <row r="27" spans="1:34" ht="12.75" x14ac:dyDescent="0.2">
      <c r="A27" s="84"/>
      <c r="B27" s="101"/>
      <c r="C27" s="102" t="s">
        <v>56</v>
      </c>
      <c r="D27" s="91" t="str">
        <f t="shared" si="11"/>
        <v>Não</v>
      </c>
      <c r="E27" s="94" t="str">
        <f t="shared" si="12"/>
        <v/>
      </c>
      <c r="F27" s="80" t="b">
        <f t="shared" si="13"/>
        <v>0</v>
      </c>
      <c r="G27" s="84"/>
      <c r="H27" t="s">
        <v>57</v>
      </c>
      <c r="I27">
        <f>I25*I26%</f>
        <v>117.95930404010618</v>
      </c>
      <c r="T27" s="1">
        <f t="shared" si="0"/>
        <v>0</v>
      </c>
      <c r="V27" s="10" t="str">
        <f t="shared" si="1"/>
        <v/>
      </c>
      <c r="W27" s="11" t="str">
        <f t="shared" si="2"/>
        <v/>
      </c>
      <c r="X27" s="11" t="str">
        <f t="shared" si="3"/>
        <v/>
      </c>
      <c r="Y27" s="1" t="str">
        <f t="shared" si="4"/>
        <v/>
      </c>
      <c r="AA27" t="s">
        <v>52</v>
      </c>
      <c r="AB27" s="1">
        <f t="shared" si="5"/>
        <v>0</v>
      </c>
      <c r="AC27" s="1">
        <f>AB27*AE45</f>
        <v>0</v>
      </c>
    </row>
    <row r="28" spans="1:34" ht="12.75" x14ac:dyDescent="0.2">
      <c r="A28" s="84"/>
      <c r="B28" s="103"/>
      <c r="C28" s="104" t="s">
        <v>58</v>
      </c>
      <c r="D28" s="92" t="str">
        <f t="shared" si="11"/>
        <v>Não</v>
      </c>
      <c r="E28" s="95" t="str">
        <f t="shared" si="12"/>
        <v/>
      </c>
      <c r="F28" s="52" t="b">
        <f t="shared" si="13"/>
        <v>0</v>
      </c>
      <c r="G28" s="84"/>
      <c r="H28" s="1" t="s">
        <v>59</v>
      </c>
      <c r="I28">
        <f>I25+I27</f>
        <v>2477.1453848422293</v>
      </c>
      <c r="T28" s="1">
        <f t="shared" si="0"/>
        <v>0</v>
      </c>
      <c r="V28" s="10" t="str">
        <f t="shared" si="1"/>
        <v/>
      </c>
      <c r="W28" s="11" t="str">
        <f t="shared" si="2"/>
        <v/>
      </c>
      <c r="X28" s="11" t="str">
        <f t="shared" si="3"/>
        <v/>
      </c>
      <c r="Y28" s="1" t="str">
        <f t="shared" si="4"/>
        <v/>
      </c>
    </row>
    <row r="29" spans="1:34" ht="12.75" x14ac:dyDescent="0.2">
      <c r="A29" s="84"/>
      <c r="B29" s="101"/>
      <c r="C29" s="102" t="s">
        <v>58</v>
      </c>
      <c r="D29" s="91" t="str">
        <f t="shared" si="11"/>
        <v>Não</v>
      </c>
      <c r="E29" s="96" t="str">
        <f t="shared" si="12"/>
        <v/>
      </c>
      <c r="F29" s="80" t="b">
        <f t="shared" si="13"/>
        <v>0</v>
      </c>
      <c r="G29" s="84"/>
      <c r="T29" s="1">
        <f t="shared" si="0"/>
        <v>0</v>
      </c>
      <c r="V29" s="10" t="str">
        <f t="shared" si="1"/>
        <v/>
      </c>
      <c r="W29" s="11" t="str">
        <f t="shared" si="2"/>
        <v/>
      </c>
      <c r="X29" s="11" t="str">
        <f t="shared" si="3"/>
        <v/>
      </c>
      <c r="Y29" s="1" t="str">
        <f t="shared" si="4"/>
        <v/>
      </c>
      <c r="AA29" s="1" t="s">
        <v>60</v>
      </c>
      <c r="AB29" s="1">
        <f>AB20+AB21+AB22</f>
        <v>100</v>
      </c>
      <c r="AC29" s="1">
        <f>SUM(AC20:AC27)</f>
        <v>3919.4513258937886</v>
      </c>
    </row>
    <row r="30" spans="1:34" ht="12.75" x14ac:dyDescent="0.2">
      <c r="A30" s="84"/>
      <c r="B30" s="103"/>
      <c r="C30" s="104" t="s">
        <v>58</v>
      </c>
      <c r="D30" s="92" t="str">
        <f t="shared" si="11"/>
        <v>Não</v>
      </c>
      <c r="E30" s="97" t="str">
        <f t="shared" si="12"/>
        <v/>
      </c>
      <c r="F30" s="52" t="b">
        <f t="shared" si="13"/>
        <v>0</v>
      </c>
      <c r="G30" s="84"/>
      <c r="H30" s="1" t="s">
        <v>33</v>
      </c>
      <c r="I30" s="1"/>
      <c r="T30" s="1"/>
    </row>
    <row r="31" spans="1:34" ht="12.75" x14ac:dyDescent="0.2">
      <c r="A31" s="84"/>
      <c r="B31" s="101"/>
      <c r="C31" s="102" t="s">
        <v>58</v>
      </c>
      <c r="D31" s="91" t="str">
        <f t="shared" si="11"/>
        <v>Não</v>
      </c>
      <c r="E31" s="96" t="str">
        <f t="shared" si="12"/>
        <v/>
      </c>
      <c r="F31" s="80" t="b">
        <f t="shared" si="13"/>
        <v>0</v>
      </c>
      <c r="G31" s="84"/>
      <c r="H31" s="1" t="s">
        <v>61</v>
      </c>
      <c r="I31" s="1"/>
      <c r="T31" s="1"/>
      <c r="AA31" t="s">
        <v>62</v>
      </c>
      <c r="AB31" s="1" t="s">
        <v>2</v>
      </c>
      <c r="AC31" s="1" t="s">
        <v>3</v>
      </c>
      <c r="AD31" s="1" t="s">
        <v>4</v>
      </c>
      <c r="AE31" s="1" t="s">
        <v>63</v>
      </c>
      <c r="AF31" s="1" t="s">
        <v>5</v>
      </c>
      <c r="AG31" s="1"/>
      <c r="AH31" s="1"/>
    </row>
    <row r="32" spans="1:34" ht="12.75" x14ac:dyDescent="0.2">
      <c r="A32" s="84"/>
      <c r="B32" s="105"/>
      <c r="C32" s="106" t="s">
        <v>58</v>
      </c>
      <c r="D32" s="93" t="str">
        <f t="shared" si="11"/>
        <v>Não</v>
      </c>
      <c r="E32" s="98" t="str">
        <f t="shared" si="12"/>
        <v/>
      </c>
      <c r="F32" s="54" t="b">
        <f t="shared" si="13"/>
        <v>0</v>
      </c>
      <c r="G32" s="84"/>
      <c r="H32" s="1" t="s">
        <v>44</v>
      </c>
      <c r="I32" s="25">
        <v>0.23100000000000001</v>
      </c>
      <c r="AA32" s="28" t="s">
        <v>58</v>
      </c>
      <c r="AB32" s="28">
        <v>0</v>
      </c>
      <c r="AC32" s="28">
        <v>16</v>
      </c>
      <c r="AD32" s="28">
        <f t="shared" ref="AD32:AD33" si="14">AC32-AB32</f>
        <v>16</v>
      </c>
      <c r="AE32" s="28" t="e">
        <f>AD32*E4</f>
        <v>#VALUE!</v>
      </c>
      <c r="AF32" s="28" t="e">
        <f t="shared" ref="AF32:AF35" si="15">AE32+AD32</f>
        <v>#VALUE!</v>
      </c>
    </row>
    <row r="33" spans="1:35" ht="12.75" x14ac:dyDescent="0.2">
      <c r="A33" s="84"/>
      <c r="B33" s="84"/>
      <c r="C33" s="84"/>
      <c r="D33" s="84"/>
      <c r="E33" s="85">
        <f t="shared" si="12"/>
        <v>0</v>
      </c>
      <c r="F33" s="84"/>
      <c r="G33" s="84"/>
      <c r="H33" s="1" t="s">
        <v>64</v>
      </c>
      <c r="I33" s="1">
        <f>AF47</f>
        <v>1200</v>
      </c>
      <c r="AA33" s="28" t="s">
        <v>65</v>
      </c>
      <c r="AB33" s="28">
        <v>4</v>
      </c>
      <c r="AC33" s="28">
        <v>16</v>
      </c>
      <c r="AD33" s="28">
        <f t="shared" si="14"/>
        <v>12</v>
      </c>
      <c r="AE33" s="28" t="e">
        <f t="shared" ref="AE33:AE35" si="16">AD33*E$4</f>
        <v>#VALUE!</v>
      </c>
      <c r="AF33" s="28" t="e">
        <f t="shared" si="15"/>
        <v>#VALUE!</v>
      </c>
    </row>
    <row r="34" spans="1:35" ht="12.75" x14ac:dyDescent="0.2">
      <c r="A34" s="84"/>
      <c r="B34" s="84"/>
      <c r="C34" s="84"/>
      <c r="D34" s="84"/>
      <c r="E34" s="84"/>
      <c r="F34" s="84"/>
      <c r="G34" s="84"/>
      <c r="H34" s="1" t="s">
        <v>49</v>
      </c>
      <c r="I34" s="1">
        <v>0.76910000000000001</v>
      </c>
      <c r="AA34" s="28"/>
      <c r="AB34" s="28"/>
      <c r="AC34" s="28"/>
      <c r="AD34" s="28"/>
      <c r="AE34" s="28" t="e">
        <f t="shared" si="16"/>
        <v>#VALUE!</v>
      </c>
      <c r="AF34" s="28" t="e">
        <f t="shared" si="15"/>
        <v>#VALUE!</v>
      </c>
    </row>
    <row r="35" spans="1:35" ht="12.75" x14ac:dyDescent="0.2">
      <c r="A35" s="84"/>
      <c r="B35" s="62" t="s">
        <v>66</v>
      </c>
      <c r="C35" s="63"/>
      <c r="D35" s="63" t="s">
        <v>67</v>
      </c>
      <c r="E35" s="64"/>
      <c r="F35" s="65"/>
      <c r="G35" s="84"/>
      <c r="H35" s="1" t="s">
        <v>53</v>
      </c>
      <c r="I35" s="1">
        <f>I33/I34</f>
        <v>1560.2652450916655</v>
      </c>
      <c r="AA35" s="28" t="s">
        <v>56</v>
      </c>
      <c r="AB35" s="28">
        <v>6</v>
      </c>
      <c r="AC35" s="28">
        <v>12</v>
      </c>
      <c r="AD35" s="28">
        <f t="shared" ref="AD35:AD42" si="17">AC35-AB35</f>
        <v>6</v>
      </c>
      <c r="AE35" s="28" t="e">
        <f t="shared" si="16"/>
        <v>#VALUE!</v>
      </c>
      <c r="AF35" s="28" t="e">
        <f t="shared" si="15"/>
        <v>#VALUE!</v>
      </c>
    </row>
    <row r="36" spans="1:35" ht="12.75" x14ac:dyDescent="0.2">
      <c r="A36" s="84"/>
      <c r="B36" s="62" t="s">
        <v>68</v>
      </c>
      <c r="C36" s="63"/>
      <c r="D36" s="63">
        <f>I28</f>
        <v>2477.1453848422293</v>
      </c>
      <c r="E36" s="64"/>
      <c r="F36" s="65"/>
      <c r="G36" s="84"/>
      <c r="H36" s="1" t="s">
        <v>55</v>
      </c>
      <c r="I36" s="27">
        <v>5</v>
      </c>
      <c r="AA36" s="1" t="s">
        <v>35</v>
      </c>
      <c r="AB36">
        <v>0</v>
      </c>
      <c r="AC36">
        <v>16</v>
      </c>
      <c r="AD36">
        <f t="shared" si="17"/>
        <v>16</v>
      </c>
      <c r="AE36" s="1">
        <f t="shared" ref="AE36:AE38" si="18">AD36/I$34</f>
        <v>20.803536601222209</v>
      </c>
      <c r="AF36" s="1">
        <f t="shared" ref="AF36:AF42" si="19">AD36*AB20</f>
        <v>0</v>
      </c>
    </row>
    <row r="37" spans="1:35" ht="12.75" x14ac:dyDescent="0.2">
      <c r="A37" s="84"/>
      <c r="B37" s="66" t="s">
        <v>69</v>
      </c>
      <c r="C37" s="53"/>
      <c r="D37" s="53">
        <f>I56+I57+I58</f>
        <v>1624.5968339617732</v>
      </c>
      <c r="E37" s="67"/>
      <c r="F37" s="68"/>
      <c r="G37" s="84"/>
      <c r="H37" s="1" t="s">
        <v>57</v>
      </c>
      <c r="I37" s="1">
        <f>I35*I36%</f>
        <v>78.013262254583282</v>
      </c>
      <c r="AA37" s="1" t="s">
        <v>39</v>
      </c>
      <c r="AB37">
        <v>4</v>
      </c>
      <c r="AC37">
        <v>16</v>
      </c>
      <c r="AD37" s="1">
        <f t="shared" si="17"/>
        <v>12</v>
      </c>
      <c r="AE37" s="1">
        <f t="shared" si="18"/>
        <v>15.602652450916656</v>
      </c>
      <c r="AF37" s="1">
        <f t="shared" si="19"/>
        <v>1200</v>
      </c>
    </row>
    <row r="38" spans="1:35" ht="12.75" x14ac:dyDescent="0.2">
      <c r="A38" s="84"/>
      <c r="B38" s="85"/>
      <c r="C38" s="85"/>
      <c r="D38" s="85"/>
      <c r="E38" s="84"/>
      <c r="F38" s="84"/>
      <c r="G38" s="84"/>
      <c r="H38" s="1" t="s">
        <v>59</v>
      </c>
      <c r="I38" s="1">
        <f>I35+I37</f>
        <v>1638.2785073462487</v>
      </c>
      <c r="AA38" s="1" t="s">
        <v>45</v>
      </c>
      <c r="AB38">
        <v>6</v>
      </c>
      <c r="AC38">
        <v>12</v>
      </c>
      <c r="AD38" s="1">
        <f t="shared" si="17"/>
        <v>6</v>
      </c>
      <c r="AE38" s="1">
        <f t="shared" si="18"/>
        <v>7.801326225458328</v>
      </c>
      <c r="AF38" s="1">
        <f t="shared" si="19"/>
        <v>0</v>
      </c>
    </row>
    <row r="39" spans="1:35" ht="12.75" x14ac:dyDescent="0.2">
      <c r="B39" s="1"/>
      <c r="C39" s="1"/>
      <c r="D39" s="1"/>
      <c r="AA39" s="1" t="s">
        <v>47</v>
      </c>
      <c r="AB39">
        <v>0</v>
      </c>
      <c r="AC39">
        <v>16</v>
      </c>
      <c r="AD39" s="1">
        <f t="shared" si="17"/>
        <v>16</v>
      </c>
      <c r="AE39" s="1">
        <f t="shared" ref="AE39:AE40" si="20">AD39/I$24</f>
        <v>23.591860808021231</v>
      </c>
      <c r="AF39" s="1">
        <f t="shared" si="19"/>
        <v>0</v>
      </c>
    </row>
    <row r="40" spans="1:35" ht="12.75" x14ac:dyDescent="0.2">
      <c r="B40" s="1"/>
      <c r="C40" s="1"/>
      <c r="D40" s="1"/>
      <c r="I40">
        <f>MAX(I1:I39)</f>
        <v>2477.1453848422293</v>
      </c>
      <c r="AA40" s="1" t="s">
        <v>51</v>
      </c>
      <c r="AB40">
        <v>6</v>
      </c>
      <c r="AC40">
        <v>12</v>
      </c>
      <c r="AD40" s="1">
        <f t="shared" si="17"/>
        <v>6</v>
      </c>
      <c r="AE40" s="1">
        <f t="shared" si="20"/>
        <v>8.8469478030079625</v>
      </c>
      <c r="AF40" s="1">
        <f t="shared" si="19"/>
        <v>0</v>
      </c>
    </row>
    <row r="41" spans="1:35" ht="12.75" x14ac:dyDescent="0.2">
      <c r="B41" s="1"/>
      <c r="C41" s="1"/>
      <c r="D41" s="1"/>
      <c r="AA41" s="1" t="s">
        <v>54</v>
      </c>
      <c r="AB41">
        <v>0</v>
      </c>
      <c r="AC41">
        <v>16</v>
      </c>
      <c r="AD41" s="1">
        <f t="shared" si="17"/>
        <v>16</v>
      </c>
      <c r="AE41" s="1">
        <f>AD41/I$34</f>
        <v>20.803536601222209</v>
      </c>
      <c r="AF41" s="1">
        <f t="shared" si="19"/>
        <v>0</v>
      </c>
    </row>
    <row r="42" spans="1:35" ht="12.75" x14ac:dyDescent="0.2">
      <c r="B42" s="1"/>
      <c r="C42" s="1"/>
      <c r="D42" s="1"/>
      <c r="H42" t="s">
        <v>70</v>
      </c>
      <c r="AA42" s="1" t="s">
        <v>48</v>
      </c>
      <c r="AB42">
        <v>0</v>
      </c>
      <c r="AC42">
        <v>16</v>
      </c>
      <c r="AD42" s="1">
        <f t="shared" si="17"/>
        <v>16</v>
      </c>
      <c r="AE42" s="1">
        <f t="shared" ref="AE42:AE43" si="21">AD42/I$24</f>
        <v>23.591860808021231</v>
      </c>
      <c r="AF42" s="1">
        <f t="shared" si="19"/>
        <v>1600</v>
      </c>
    </row>
    <row r="43" spans="1:35" ht="12.75" x14ac:dyDescent="0.2">
      <c r="B43" s="1"/>
      <c r="C43" s="1"/>
      <c r="D43" s="1"/>
      <c r="H43" t="s">
        <v>37</v>
      </c>
      <c r="AA43" s="29" t="s">
        <v>52</v>
      </c>
      <c r="AB43" s="30">
        <v>0</v>
      </c>
      <c r="AC43" s="30">
        <v>16</v>
      </c>
      <c r="AD43" s="30">
        <f>AC43/2</f>
        <v>8</v>
      </c>
      <c r="AE43" s="30">
        <f t="shared" si="21"/>
        <v>11.795930404010615</v>
      </c>
      <c r="AF43" s="1">
        <f>AC43*AB27</f>
        <v>0</v>
      </c>
      <c r="AG43">
        <f>AF43/2</f>
        <v>0</v>
      </c>
      <c r="AH43">
        <f>AE43*AB27</f>
        <v>0</v>
      </c>
      <c r="AI43" t="s">
        <v>71</v>
      </c>
    </row>
    <row r="44" spans="1:35" ht="12.75" x14ac:dyDescent="0.2">
      <c r="H44" t="s">
        <v>72</v>
      </c>
      <c r="I44">
        <v>0.66400000000000003</v>
      </c>
      <c r="AA44" s="31"/>
      <c r="AB44" s="32"/>
      <c r="AC44" s="32"/>
      <c r="AD44" s="32"/>
      <c r="AE44" s="32">
        <f>AD43/I$34</f>
        <v>10.401768300611105</v>
      </c>
      <c r="AF44" s="33"/>
      <c r="AH44" s="1">
        <f>AE44*AB27</f>
        <v>0</v>
      </c>
      <c r="AI44" t="s">
        <v>73</v>
      </c>
    </row>
    <row r="45" spans="1:35" ht="12.75" x14ac:dyDescent="0.2">
      <c r="H45" t="s">
        <v>74</v>
      </c>
      <c r="I45">
        <v>0.33600000000000002</v>
      </c>
      <c r="AE45" s="34">
        <f>AE43+AE44</f>
        <v>22.197698704621722</v>
      </c>
    </row>
    <row r="46" spans="1:35" ht="12.75" x14ac:dyDescent="0.2">
      <c r="H46" t="s">
        <v>75</v>
      </c>
      <c r="I46">
        <f>I28</f>
        <v>2477.1453848422293</v>
      </c>
    </row>
    <row r="47" spans="1:35" ht="12.75" x14ac:dyDescent="0.2">
      <c r="H47" t="s">
        <v>76</v>
      </c>
      <c r="I47">
        <f>I46*I44</f>
        <v>1644.8245355352403</v>
      </c>
      <c r="AE47" t="s">
        <v>77</v>
      </c>
      <c r="AF47">
        <f>SUM(AF36+AF37+AF38+AF41+AG43)</f>
        <v>1200</v>
      </c>
    </row>
    <row r="48" spans="1:35" ht="12.75" x14ac:dyDescent="0.2">
      <c r="H48" t="s">
        <v>78</v>
      </c>
      <c r="I48" s="1">
        <f>I46*I45</f>
        <v>832.32084930698909</v>
      </c>
      <c r="AE48" t="s">
        <v>79</v>
      </c>
      <c r="AF48">
        <f>SUM(AF39+AF40+AF42+AG43)</f>
        <v>1600</v>
      </c>
    </row>
    <row r="50" spans="8:9" ht="12.75" x14ac:dyDescent="0.2">
      <c r="H50" s="1" t="s">
        <v>70</v>
      </c>
      <c r="I50" s="1"/>
    </row>
    <row r="51" spans="8:9" ht="12.75" x14ac:dyDescent="0.2">
      <c r="H51" s="1" t="s">
        <v>80</v>
      </c>
      <c r="I51" s="1"/>
    </row>
    <row r="52" spans="8:9" ht="12.75" x14ac:dyDescent="0.2">
      <c r="H52" s="1" t="s">
        <v>72</v>
      </c>
      <c r="I52" s="1">
        <v>0.65559999999999996</v>
      </c>
    </row>
    <row r="53" spans="8:9" ht="12.75" x14ac:dyDescent="0.2">
      <c r="H53" s="1" t="s">
        <v>74</v>
      </c>
      <c r="I53" s="1">
        <v>0.33189999999999997</v>
      </c>
    </row>
    <row r="54" spans="8:9" ht="12.75" x14ac:dyDescent="0.2">
      <c r="H54" t="s">
        <v>81</v>
      </c>
      <c r="I54">
        <v>1.2500000000000001E-2</v>
      </c>
    </row>
    <row r="55" spans="8:9" ht="12.75" x14ac:dyDescent="0.2">
      <c r="H55" s="1" t="s">
        <v>82</v>
      </c>
      <c r="I55" s="1">
        <f>I38</f>
        <v>1638.2785073462487</v>
      </c>
    </row>
    <row r="56" spans="8:9" ht="12.75" x14ac:dyDescent="0.2">
      <c r="H56" s="1" t="s">
        <v>76</v>
      </c>
      <c r="I56" s="1">
        <f>I55*I52</f>
        <v>1074.0553894162006</v>
      </c>
    </row>
    <row r="57" spans="8:9" ht="12.75" x14ac:dyDescent="0.2">
      <c r="H57" s="1" t="s">
        <v>78</v>
      </c>
      <c r="I57" s="1">
        <f>I55*I53</f>
        <v>543.74463658821992</v>
      </c>
    </row>
    <row r="58" spans="8:9" ht="12.75" x14ac:dyDescent="0.2">
      <c r="H58" t="s">
        <v>83</v>
      </c>
      <c r="I58" s="1">
        <f>I57*I54</f>
        <v>6.7968079573527493</v>
      </c>
    </row>
    <row r="59" spans="8:9" ht="12.75" x14ac:dyDescent="0.2">
      <c r="H59" t="s">
        <v>84</v>
      </c>
      <c r="I59">
        <v>5</v>
      </c>
    </row>
    <row r="60" spans="8:9" ht="12.75" x14ac:dyDescent="0.2">
      <c r="H60" t="s">
        <v>85</v>
      </c>
      <c r="I60">
        <f>I58/I59</f>
        <v>1.3593615914705499</v>
      </c>
    </row>
    <row r="62" spans="8:9" ht="12.75" x14ac:dyDescent="0.2">
      <c r="H62" t="s">
        <v>86</v>
      </c>
    </row>
    <row r="63" spans="8:9" ht="12.75" x14ac:dyDescent="0.2">
      <c r="H63" s="1" t="s">
        <v>23</v>
      </c>
      <c r="I63" s="1"/>
    </row>
    <row r="64" spans="8:9" ht="12.75" x14ac:dyDescent="0.2">
      <c r="H64" s="1" t="s">
        <v>44</v>
      </c>
      <c r="I64" s="25">
        <v>0.2</v>
      </c>
    </row>
    <row r="65" spans="8:9" ht="12.75" x14ac:dyDescent="0.2">
      <c r="H65" s="1" t="s">
        <v>46</v>
      </c>
      <c r="I65" s="1">
        <f>D3</f>
        <v>3000</v>
      </c>
    </row>
    <row r="66" spans="8:9" ht="12.75" x14ac:dyDescent="0.2">
      <c r="H66" s="1" t="s">
        <v>49</v>
      </c>
      <c r="I66" s="1">
        <v>0.8</v>
      </c>
    </row>
    <row r="67" spans="8:9" ht="12.75" x14ac:dyDescent="0.2">
      <c r="H67" s="1" t="s">
        <v>53</v>
      </c>
      <c r="I67" s="1">
        <f>I65/I66</f>
        <v>3750</v>
      </c>
    </row>
    <row r="68" spans="8:9" ht="12.75" x14ac:dyDescent="0.2">
      <c r="H68" s="1" t="s">
        <v>55</v>
      </c>
      <c r="I68" s="27">
        <v>5</v>
      </c>
    </row>
    <row r="69" spans="8:9" ht="12.75" x14ac:dyDescent="0.2">
      <c r="H69" s="1" t="s">
        <v>57</v>
      </c>
      <c r="I69" s="1">
        <f>I67*I68%</f>
        <v>187.5</v>
      </c>
    </row>
    <row r="70" spans="8:9" ht="12.75" x14ac:dyDescent="0.2">
      <c r="H70" s="1" t="s">
        <v>59</v>
      </c>
      <c r="I70" s="1">
        <f>I67+I69</f>
        <v>3937.5</v>
      </c>
    </row>
    <row r="72" spans="8:9" ht="12.75" x14ac:dyDescent="0.2">
      <c r="H72" s="1" t="s">
        <v>87</v>
      </c>
      <c r="I72" s="1"/>
    </row>
    <row r="73" spans="8:9" ht="12.75" x14ac:dyDescent="0.2">
      <c r="H73" s="1" t="s">
        <v>23</v>
      </c>
      <c r="I73" s="1"/>
    </row>
    <row r="74" spans="8:9" ht="12.75" x14ac:dyDescent="0.2">
      <c r="H74" s="1" t="s">
        <v>72</v>
      </c>
      <c r="I74" s="1">
        <v>0.66400000000000003</v>
      </c>
    </row>
    <row r="75" spans="8:9" ht="12.75" x14ac:dyDescent="0.2">
      <c r="H75" s="1" t="s">
        <v>74</v>
      </c>
      <c r="I75" s="1">
        <v>0.33600000000000002</v>
      </c>
    </row>
    <row r="76" spans="8:9" ht="12.75" x14ac:dyDescent="0.2">
      <c r="H76" s="1" t="s">
        <v>88</v>
      </c>
      <c r="I76" s="1">
        <f>I70</f>
        <v>3937.5</v>
      </c>
    </row>
    <row r="77" spans="8:9" ht="12.75" x14ac:dyDescent="0.2">
      <c r="H77" s="1" t="s">
        <v>76</v>
      </c>
      <c r="I77" s="1">
        <f>I76*I74</f>
        <v>2614.5</v>
      </c>
    </row>
    <row r="78" spans="8:9" ht="12.75" x14ac:dyDescent="0.2">
      <c r="H78" s="1" t="s">
        <v>78</v>
      </c>
      <c r="I78" s="1">
        <f>I76*I75</f>
        <v>1323</v>
      </c>
    </row>
    <row r="79" spans="8:9" ht="12.75" x14ac:dyDescent="0.2">
      <c r="H79" t="s">
        <v>89</v>
      </c>
      <c r="I79">
        <v>1.5</v>
      </c>
    </row>
    <row r="80" spans="8:9" ht="12.75" x14ac:dyDescent="0.2">
      <c r="I80">
        <f>I79*C9</f>
        <v>10.324860474499143</v>
      </c>
    </row>
    <row r="82" spans="8:9" ht="12.75" x14ac:dyDescent="0.2">
      <c r="H82" s="1" t="s">
        <v>90</v>
      </c>
      <c r="I82" s="1"/>
    </row>
    <row r="83" spans="8:9" ht="12.75" x14ac:dyDescent="0.2">
      <c r="H83" s="1" t="s">
        <v>7</v>
      </c>
      <c r="I83" s="1"/>
    </row>
    <row r="84" spans="8:9" ht="12.75" x14ac:dyDescent="0.2">
      <c r="H84" s="1" t="s">
        <v>44</v>
      </c>
      <c r="I84" s="25">
        <v>0.41</v>
      </c>
    </row>
    <row r="85" spans="8:9" ht="12.75" x14ac:dyDescent="0.2">
      <c r="H85" s="1" t="s">
        <v>46</v>
      </c>
      <c r="I85" s="1">
        <f>AJ3</f>
        <v>450.00045000044997</v>
      </c>
    </row>
    <row r="86" spans="8:9" ht="12.75" x14ac:dyDescent="0.2">
      <c r="H86" s="1" t="s">
        <v>49</v>
      </c>
      <c r="I86" s="1">
        <v>0.59899999999999998</v>
      </c>
    </row>
    <row r="87" spans="8:9" ht="12.75" x14ac:dyDescent="0.2">
      <c r="H87" s="1" t="s">
        <v>91</v>
      </c>
      <c r="I87" s="1">
        <f>I85/I86</f>
        <v>751.25283806419031</v>
      </c>
    </row>
    <row r="88" spans="8:9" ht="12.75" x14ac:dyDescent="0.2">
      <c r="H88" s="1" t="s">
        <v>55</v>
      </c>
      <c r="I88" s="27">
        <v>5</v>
      </c>
    </row>
    <row r="89" spans="8:9" ht="12.75" x14ac:dyDescent="0.2">
      <c r="H89" s="1" t="s">
        <v>57</v>
      </c>
      <c r="I89" s="1">
        <f>I87*I88%</f>
        <v>37.562641903209517</v>
      </c>
    </row>
    <row r="90" spans="8:9" ht="12.75" x14ac:dyDescent="0.2">
      <c r="H90" s="1" t="s">
        <v>59</v>
      </c>
      <c r="I90" s="1">
        <f>I87+I89</f>
        <v>788.81547996739982</v>
      </c>
    </row>
    <row r="92" spans="8:9" ht="12.75" x14ac:dyDescent="0.2">
      <c r="H92" s="1" t="s">
        <v>92</v>
      </c>
      <c r="I92" s="1"/>
    </row>
    <row r="93" spans="8:9" ht="12.75" x14ac:dyDescent="0.2">
      <c r="H93" s="1" t="s">
        <v>7</v>
      </c>
      <c r="I93" s="1"/>
    </row>
    <row r="94" spans="8:9" ht="12.75" x14ac:dyDescent="0.2">
      <c r="H94" s="1" t="s">
        <v>93</v>
      </c>
      <c r="I94" s="1">
        <v>0.83299999999999996</v>
      </c>
    </row>
    <row r="95" spans="8:9" ht="12.75" x14ac:dyDescent="0.2">
      <c r="H95" s="1" t="s">
        <v>94</v>
      </c>
      <c r="I95" s="1">
        <v>0.17699999999999999</v>
      </c>
    </row>
    <row r="96" spans="8:9" ht="12.75" x14ac:dyDescent="0.2">
      <c r="H96" s="1" t="s">
        <v>88</v>
      </c>
      <c r="I96" s="1">
        <f>I90</f>
        <v>788.81547996739982</v>
      </c>
    </row>
    <row r="97" spans="8:9" ht="12.75" x14ac:dyDescent="0.2">
      <c r="H97" s="1" t="s">
        <v>95</v>
      </c>
      <c r="I97" s="1">
        <f>I96*I94</f>
        <v>657.08329481284397</v>
      </c>
    </row>
    <row r="98" spans="8:9" ht="12.75" x14ac:dyDescent="0.2">
      <c r="H98" s="1" t="s">
        <v>96</v>
      </c>
      <c r="I98" s="1">
        <f>I96*I95</f>
        <v>139.62033995422976</v>
      </c>
    </row>
    <row r="99" spans="8:9" ht="12.75" x14ac:dyDescent="0.2">
      <c r="H99" s="1" t="s">
        <v>97</v>
      </c>
      <c r="I99" s="1">
        <v>1.5</v>
      </c>
    </row>
  </sheetData>
  <mergeCells count="18">
    <mergeCell ref="O23:O24"/>
    <mergeCell ref="B7:E7"/>
    <mergeCell ref="B5:C5"/>
    <mergeCell ref="B4:C4"/>
    <mergeCell ref="B3:C3"/>
    <mergeCell ref="B6:C6"/>
    <mergeCell ref="M7:M8"/>
    <mergeCell ref="B21:F21"/>
    <mergeCell ref="E22:F22"/>
    <mergeCell ref="B13:E13"/>
    <mergeCell ref="N23:N24"/>
    <mergeCell ref="B10:E10"/>
    <mergeCell ref="E5:F5"/>
    <mergeCell ref="B2:D2"/>
    <mergeCell ref="B1:F1"/>
    <mergeCell ref="E4:F4"/>
    <mergeCell ref="E3:F3"/>
    <mergeCell ref="E2:F2"/>
  </mergeCells>
  <conditionalFormatting sqref="B11">
    <cfRule type="expression" dxfId="256" priority="95">
      <formula>E262136="Recheios para Bolos"</formula>
    </cfRule>
  </conditionalFormatting>
  <conditionalFormatting sqref="B12">
    <cfRule type="expression" dxfId="255" priority="96">
      <formula>E262135="Recheios para Bolos"</formula>
    </cfRule>
  </conditionalFormatting>
  <conditionalFormatting sqref="B13">
    <cfRule type="expression" dxfId="254" priority="103">
      <formula>E262137="Recheios para Bolos"</formula>
    </cfRule>
    <cfRule type="expression" dxfId="253" priority="113">
      <formula>E262134="Recheios para Bolos"</formula>
    </cfRule>
  </conditionalFormatting>
  <conditionalFormatting sqref="B14">
    <cfRule type="expression" dxfId="252" priority="104">
      <formula>E262136="Recheios para Bolos"</formula>
    </cfRule>
    <cfRule type="expression" dxfId="251" priority="114">
      <formula>E262133="Recheios para Bolos"</formula>
    </cfRule>
  </conditionalFormatting>
  <conditionalFormatting sqref="B15">
    <cfRule type="expression" dxfId="250" priority="109">
      <formula>E262135="Recheios para Bolos"</formula>
    </cfRule>
    <cfRule type="expression" dxfId="249" priority="119">
      <formula>E262132="Recheios para Bolos"</formula>
    </cfRule>
  </conditionalFormatting>
  <conditionalFormatting sqref="B22">
    <cfRule type="expression" dxfId="248" priority="23">
      <formula>E262125="Recheios para Bolos"</formula>
    </cfRule>
  </conditionalFormatting>
  <conditionalFormatting sqref="B23">
    <cfRule type="expression" dxfId="247" priority="24">
      <formula>E262124="Recheios para Bolos"</formula>
    </cfRule>
  </conditionalFormatting>
  <conditionalFormatting sqref="B24:B32">
    <cfRule type="expression" dxfId="246" priority="25">
      <formula>E262123="Recheios para Bolos"</formula>
    </cfRule>
  </conditionalFormatting>
  <conditionalFormatting sqref="B25">
    <cfRule type="expression" dxfId="245" priority="39">
      <formula>E262122="Recheios para Bolos"</formula>
    </cfRule>
  </conditionalFormatting>
  <conditionalFormatting sqref="B26">
    <cfRule type="expression" dxfId="244" priority="40">
      <formula>E262121="Recheios para Bolos"</formula>
    </cfRule>
  </conditionalFormatting>
  <conditionalFormatting sqref="B27">
    <cfRule type="expression" dxfId="243" priority="41">
      <formula>E262120="Recheios para Bolos"</formula>
    </cfRule>
  </conditionalFormatting>
  <conditionalFormatting sqref="B28">
    <cfRule type="expression" dxfId="242" priority="42">
      <formula>E262119="Recheios para Bolos"</formula>
    </cfRule>
  </conditionalFormatting>
  <conditionalFormatting sqref="B29">
    <cfRule type="expression" dxfId="241" priority="43">
      <formula>E262118="Recheios para Bolos"</formula>
    </cfRule>
  </conditionalFormatting>
  <conditionalFormatting sqref="B30">
    <cfRule type="expression" dxfId="240" priority="45">
      <formula>E262117="Recheios para Bolos"</formula>
    </cfRule>
  </conditionalFormatting>
  <conditionalFormatting sqref="B31">
    <cfRule type="expression" dxfId="239" priority="46">
      <formula>E262116="Recheios para Bolos"</formula>
    </cfRule>
  </conditionalFormatting>
  <conditionalFormatting sqref="B32">
    <cfRule type="expression" dxfId="238" priority="47">
      <formula>E262115="Recheios para Bolos"</formula>
    </cfRule>
  </conditionalFormatting>
  <conditionalFormatting sqref="B33">
    <cfRule type="expression" dxfId="237" priority="48">
      <formula>E262114="Recheios para Bolos"</formula>
    </cfRule>
  </conditionalFormatting>
  <conditionalFormatting sqref="B35">
    <cfRule type="expression" dxfId="236" priority="89">
      <formula>E262112="Recheios para Bolos"</formula>
    </cfRule>
  </conditionalFormatting>
  <conditionalFormatting sqref="B36">
    <cfRule type="expression" dxfId="235" priority="90">
      <formula>E262111="Recheios para Bolos"</formula>
    </cfRule>
  </conditionalFormatting>
  <conditionalFormatting sqref="B37">
    <cfRule type="expression" dxfId="234" priority="91">
      <formula>E262110="Recheios para Bolos"</formula>
    </cfRule>
  </conditionalFormatting>
  <conditionalFormatting sqref="B3:C3">
    <cfRule type="expression" dxfId="233" priority="12">
      <formula>E262144="Geléia de Morango"</formula>
    </cfRule>
  </conditionalFormatting>
  <conditionalFormatting sqref="B4:C5">
    <cfRule type="expression" dxfId="232" priority="16">
      <formula>E262143="Brigadeiro"</formula>
    </cfRule>
  </conditionalFormatting>
  <conditionalFormatting sqref="B5:C5">
    <cfRule type="expression" dxfId="231" priority="18">
      <formula>E262142="Brigadeiro"</formula>
    </cfRule>
    <cfRule type="expression" dxfId="230" priority="19">
      <formula>E262142="Recheios para Bolos"</formula>
    </cfRule>
  </conditionalFormatting>
  <conditionalFormatting sqref="B10:E10">
    <cfRule type="expression" dxfId="229" priority="80">
      <formula>E262137="Recheios para Bolos"</formula>
    </cfRule>
  </conditionalFormatting>
  <conditionalFormatting sqref="B10:F12">
    <cfRule type="expression" dxfId="228" priority="81">
      <formula>E262137="Recheios para Bolos"</formula>
    </cfRule>
  </conditionalFormatting>
  <conditionalFormatting sqref="B13:F15">
    <cfRule type="expression" dxfId="227" priority="82">
      <formula>E262143="Recheios para Bolos"</formula>
    </cfRule>
  </conditionalFormatting>
  <conditionalFormatting sqref="B21:F21">
    <cfRule type="expression" dxfId="226" priority="22">
      <formula>E262126="Recheios para Bolos"</formula>
    </cfRule>
  </conditionalFormatting>
  <conditionalFormatting sqref="B21:F32">
    <cfRule type="expression" dxfId="225" priority="130">
      <formula>E262126="Geléia de Morango"</formula>
    </cfRule>
  </conditionalFormatting>
  <conditionalFormatting sqref="C9">
    <cfRule type="expression" dxfId="224" priority="123">
      <formula>D262138="Geléia de Morango"</formula>
    </cfRule>
  </conditionalFormatting>
  <conditionalFormatting sqref="C11">
    <cfRule type="expression" dxfId="223" priority="97">
      <formula>D262136="Recheios para Bolos"</formula>
    </cfRule>
  </conditionalFormatting>
  <conditionalFormatting sqref="C12">
    <cfRule type="expression" dxfId="222" priority="98">
      <formula>D262135="Recheios para Bolos"</formula>
    </cfRule>
  </conditionalFormatting>
  <conditionalFormatting sqref="C14">
    <cfRule type="expression" dxfId="221" priority="105">
      <formula>D262136="Recheios para Bolos"</formula>
    </cfRule>
    <cfRule type="expression" dxfId="220" priority="115">
      <formula>D262133="Recheios para Bolos"</formula>
    </cfRule>
  </conditionalFormatting>
  <conditionalFormatting sqref="C15">
    <cfRule type="expression" dxfId="219" priority="110">
      <formula>D262135="Recheios para Bolos"</formula>
    </cfRule>
    <cfRule type="expression" dxfId="218" priority="120">
      <formula>D262132="Recheios para Bolos"</formula>
    </cfRule>
  </conditionalFormatting>
  <conditionalFormatting sqref="C22">
    <cfRule type="expression" dxfId="217" priority="28">
      <formula>D262125="Recheios para Bolos"</formula>
    </cfRule>
  </conditionalFormatting>
  <conditionalFormatting sqref="C23">
    <cfRule type="expression" dxfId="216" priority="29">
      <formula>D262124="Recheios para Bolos"</formula>
    </cfRule>
  </conditionalFormatting>
  <conditionalFormatting sqref="C24">
    <cfRule type="expression" dxfId="215" priority="30">
      <formula>D262123="Recheios para Bolos"</formula>
    </cfRule>
  </conditionalFormatting>
  <conditionalFormatting sqref="C25">
    <cfRule type="expression" dxfId="214" priority="31">
      <formula>D262122="Recheios para Bolos"</formula>
    </cfRule>
  </conditionalFormatting>
  <conditionalFormatting sqref="C26">
    <cfRule type="expression" dxfId="213" priority="32">
      <formula>D262121="Recheios para Bolos"</formula>
    </cfRule>
  </conditionalFormatting>
  <conditionalFormatting sqref="C27">
    <cfRule type="expression" dxfId="212" priority="15">
      <formula>D262120="Recheios para Bolos"</formula>
    </cfRule>
    <cfRule type="expression" dxfId="211" priority="128">
      <formula>D262120="Geléia de Morango"</formula>
    </cfRule>
  </conditionalFormatting>
  <conditionalFormatting sqref="C28">
    <cfRule type="expression" dxfId="210" priority="33">
      <formula>D262119="Recheios para Bolos"</formula>
    </cfRule>
  </conditionalFormatting>
  <conditionalFormatting sqref="C29">
    <cfRule type="expression" dxfId="209" priority="34">
      <formula>D262118="Recheios para Bolos"</formula>
    </cfRule>
  </conditionalFormatting>
  <conditionalFormatting sqref="C30">
    <cfRule type="expression" dxfId="208" priority="35">
      <formula>D262117="Recheios para Bolos"</formula>
    </cfRule>
  </conditionalFormatting>
  <conditionalFormatting sqref="C31">
    <cfRule type="expression" dxfId="207" priority="36">
      <formula>D262116="Recheios para Bolos"</formula>
    </cfRule>
  </conditionalFormatting>
  <conditionalFormatting sqref="C32">
    <cfRule type="expression" dxfId="206" priority="37">
      <formula>D262115="Recheios para Bolos"</formula>
    </cfRule>
  </conditionalFormatting>
  <conditionalFormatting sqref="C33">
    <cfRule type="expression" dxfId="205" priority="38">
      <formula>D262114="Recheios para Bolos"</formula>
    </cfRule>
  </conditionalFormatting>
  <conditionalFormatting sqref="D3">
    <cfRule type="expression" dxfId="204" priority="9">
      <formula>$E$2="Geléia de Morango"</formula>
    </cfRule>
    <cfRule type="expression" dxfId="203" priority="20">
      <formula>$E$2="Recheios para Bolos"</formula>
    </cfRule>
    <cfRule type="expression" dxfId="202" priority="76">
      <formula>C262144="Brigadeiros"</formula>
    </cfRule>
  </conditionalFormatting>
  <conditionalFormatting sqref="D4">
    <cfRule type="expression" dxfId="201" priority="77">
      <formula>$E$2="Brigadeiros"</formula>
    </cfRule>
  </conditionalFormatting>
  <conditionalFormatting sqref="D4:D5">
    <cfRule type="expression" dxfId="200" priority="26">
      <formula>C262143="Recheios para Bolos"</formula>
    </cfRule>
  </conditionalFormatting>
  <conditionalFormatting sqref="D5">
    <cfRule type="expression" dxfId="199" priority="27">
      <formula>C262142="Recheios para Bolos"</formula>
    </cfRule>
    <cfRule type="expression" dxfId="198" priority="129">
      <formula>C262142="Geléia de Morango"</formula>
    </cfRule>
  </conditionalFormatting>
  <conditionalFormatting sqref="D11">
    <cfRule type="expression" dxfId="197" priority="99">
      <formula>C262136="Recheios para Bolos"</formula>
    </cfRule>
  </conditionalFormatting>
  <conditionalFormatting sqref="D12">
    <cfRule type="expression" dxfId="196" priority="100">
      <formula>C262135="Recheios para Bolos"</formula>
    </cfRule>
  </conditionalFormatting>
  <conditionalFormatting sqref="D14">
    <cfRule type="expression" dxfId="195" priority="106">
      <formula>C262136="Recheios para Bolos"</formula>
    </cfRule>
    <cfRule type="expression" dxfId="194" priority="116">
      <formula>C262133="Recheios para Bolos"</formula>
    </cfRule>
  </conditionalFormatting>
  <conditionalFormatting sqref="D23">
    <cfRule type="expression" dxfId="193" priority="51">
      <formula>C262124="Recheios para Bolos"</formula>
    </cfRule>
  </conditionalFormatting>
  <conditionalFormatting sqref="D24:D32">
    <cfRule type="expression" dxfId="192" priority="78">
      <formula>C262124="Recheios para Bolos"</formula>
    </cfRule>
    <cfRule type="expression" dxfId="191" priority="79">
      <formula>C262123="Recheios para Bolos"</formula>
    </cfRule>
  </conditionalFormatting>
  <conditionalFormatting sqref="D25">
    <cfRule type="expression" dxfId="190" priority="44">
      <formula>C262122="Recheios para Bolos"</formula>
    </cfRule>
  </conditionalFormatting>
  <conditionalFormatting sqref="D26">
    <cfRule type="expression" dxfId="189" priority="83">
      <formula>C262121="Recheios para Bolos"</formula>
    </cfRule>
  </conditionalFormatting>
  <conditionalFormatting sqref="D27">
    <cfRule type="expression" dxfId="188" priority="84">
      <formula>C262120="Recheios para Bolos"</formula>
    </cfRule>
  </conditionalFormatting>
  <conditionalFormatting sqref="D28">
    <cfRule type="expression" dxfId="187" priority="85">
      <formula>C262119="Recheios para Bolos"</formula>
    </cfRule>
  </conditionalFormatting>
  <conditionalFormatting sqref="D29">
    <cfRule type="expression" dxfId="186" priority="86">
      <formula>C262118="Recheios para Bolos"</formula>
    </cfRule>
  </conditionalFormatting>
  <conditionalFormatting sqref="D30">
    <cfRule type="expression" dxfId="185" priority="87">
      <formula>C262117="Recheios para Bolos"</formula>
    </cfRule>
  </conditionalFormatting>
  <conditionalFormatting sqref="D31">
    <cfRule type="expression" dxfId="184" priority="88">
      <formula>C262116="Recheios para Bolos"</formula>
    </cfRule>
  </conditionalFormatting>
  <conditionalFormatting sqref="D31:D32">
    <cfRule type="expression" dxfId="183" priority="49">
      <formula>C262135="Recheios para Bolos"</formula>
    </cfRule>
  </conditionalFormatting>
  <conditionalFormatting sqref="D32">
    <cfRule type="expression" dxfId="182" priority="127">
      <formula>C262115="Geléia de Morango"</formula>
    </cfRule>
  </conditionalFormatting>
  <conditionalFormatting sqref="D33">
    <cfRule type="expression" dxfId="181" priority="52">
      <formula>C262114="Recheios para Bolos"</formula>
    </cfRule>
  </conditionalFormatting>
  <conditionalFormatting sqref="D35">
    <cfRule type="expression" dxfId="180" priority="92">
      <formula>C262112="Recheios para Bolos"</formula>
    </cfRule>
  </conditionalFormatting>
  <conditionalFormatting sqref="D36">
    <cfRule type="expression" dxfId="179" priority="93">
      <formula>C262111="Recheios para Bolos"</formula>
    </cfRule>
  </conditionalFormatting>
  <conditionalFormatting sqref="D37">
    <cfRule type="expression" dxfId="178" priority="94">
      <formula>C262110="Recheios para Bolos"</formula>
    </cfRule>
  </conditionalFormatting>
  <conditionalFormatting sqref="D22:F30">
    <cfRule type="expression" dxfId="177" priority="50">
      <formula>C262125="Recheios para Bolos"</formula>
    </cfRule>
  </conditionalFormatting>
  <conditionalFormatting sqref="E9">
    <cfRule type="expression" dxfId="176" priority="124">
      <formula>B262138="Geléia de Morango"</formula>
    </cfRule>
  </conditionalFormatting>
  <conditionalFormatting sqref="E11">
    <cfRule type="expression" dxfId="175" priority="101">
      <formula>B262136="Recheios para Bolos"</formula>
    </cfRule>
  </conditionalFormatting>
  <conditionalFormatting sqref="E12">
    <cfRule type="expression" dxfId="174" priority="102">
      <formula>B262135="Recheios para Bolos"</formula>
    </cfRule>
  </conditionalFormatting>
  <conditionalFormatting sqref="E14">
    <cfRule type="expression" dxfId="173" priority="107">
      <formula>B262136="Recheios para Bolos"</formula>
    </cfRule>
    <cfRule type="expression" dxfId="172" priority="117">
      <formula>B262133="Recheios para Bolos"</formula>
    </cfRule>
  </conditionalFormatting>
  <conditionalFormatting sqref="E15">
    <cfRule type="expression" dxfId="171" priority="111">
      <formula>B262135="Recheios para Bolos"</formula>
    </cfRule>
    <cfRule type="expression" dxfId="170" priority="121">
      <formula>B262132="Recheios para Bolos"</formula>
    </cfRule>
  </conditionalFormatting>
  <conditionalFormatting sqref="E22">
    <cfRule type="expression" dxfId="169" priority="53">
      <formula>B262125="Recheios para Bolos"</formula>
    </cfRule>
  </conditionalFormatting>
  <conditionalFormatting sqref="E23">
    <cfRule type="expression" dxfId="168" priority="54">
      <formula>B262124="Recheios para Bolos"</formula>
    </cfRule>
  </conditionalFormatting>
  <conditionalFormatting sqref="E24">
    <cfRule type="expression" dxfId="167" priority="55">
      <formula>B262123="Recheios para Bolos"</formula>
    </cfRule>
  </conditionalFormatting>
  <conditionalFormatting sqref="E25">
    <cfRule type="expression" dxfId="166" priority="56">
      <formula>B262122="Recheios para Bolos"</formula>
    </cfRule>
  </conditionalFormatting>
  <conditionalFormatting sqref="E26">
    <cfRule type="expression" dxfId="165" priority="57">
      <formula>B262121="Recheios para Bolos"</formula>
    </cfRule>
  </conditionalFormatting>
  <conditionalFormatting sqref="E27">
    <cfRule type="expression" dxfId="164" priority="58">
      <formula>B262120="Recheios para Bolos"</formula>
    </cfRule>
  </conditionalFormatting>
  <conditionalFormatting sqref="E28">
    <cfRule type="expression" dxfId="163" priority="59">
      <formula>B262119="Recheios para Bolos"</formula>
    </cfRule>
  </conditionalFormatting>
  <conditionalFormatting sqref="E29">
    <cfRule type="expression" dxfId="162" priority="60">
      <formula>B262118="Recheios para Bolos"</formula>
    </cfRule>
  </conditionalFormatting>
  <conditionalFormatting sqref="E30">
    <cfRule type="expression" dxfId="161" priority="61">
      <formula>B262117="Recheios para Bolos"</formula>
    </cfRule>
  </conditionalFormatting>
  <conditionalFormatting sqref="E31">
    <cfRule type="expression" dxfId="160" priority="62">
      <formula>B262116="Recheios para Bolos"</formula>
    </cfRule>
  </conditionalFormatting>
  <conditionalFormatting sqref="E33">
    <cfRule type="expression" dxfId="159" priority="64">
      <formula>B262114="Recheios para Bolos"</formula>
    </cfRule>
  </conditionalFormatting>
  <conditionalFormatting sqref="F8">
    <cfRule type="expression" dxfId="158" priority="126">
      <formula>AMK262139="Geléia de Morango"</formula>
    </cfRule>
  </conditionalFormatting>
  <conditionalFormatting sqref="F9">
    <cfRule type="expression" dxfId="157" priority="125">
      <formula>AMK262138="Geléia de Morango"</formula>
    </cfRule>
  </conditionalFormatting>
  <conditionalFormatting sqref="F14">
    <cfRule type="expression" dxfId="156" priority="108">
      <formula>AMK262136="Recheios para Bolos"</formula>
    </cfRule>
    <cfRule type="expression" dxfId="155" priority="118">
      <formula>AMK262133="Recheios para Bolos"</formula>
    </cfRule>
  </conditionalFormatting>
  <conditionalFormatting sqref="F15">
    <cfRule type="expression" dxfId="154" priority="112">
      <formula>AMK262135="Recheios para Bolos"</formula>
    </cfRule>
    <cfRule type="expression" dxfId="153" priority="122">
      <formula>AMK262132="Recheios para Bolos"</formula>
    </cfRule>
  </conditionalFormatting>
  <conditionalFormatting sqref="F23">
    <cfRule type="expression" dxfId="152" priority="65">
      <formula>AMK262124="Recheios para Bolos"</formula>
    </cfRule>
  </conditionalFormatting>
  <conditionalFormatting sqref="F24">
    <cfRule type="expression" dxfId="151" priority="66">
      <formula>AMK262123="Recheios para Bolos"</formula>
    </cfRule>
  </conditionalFormatting>
  <conditionalFormatting sqref="F25">
    <cfRule type="expression" dxfId="150" priority="69">
      <formula>AMK262122="Recheios para Bolos"</formula>
    </cfRule>
  </conditionalFormatting>
  <conditionalFormatting sqref="F26">
    <cfRule type="expression" dxfId="149" priority="67">
      <formula>AMK262121="Recheios para Bolos"</formula>
    </cfRule>
  </conditionalFormatting>
  <conditionalFormatting sqref="F27">
    <cfRule type="expression" dxfId="148" priority="68">
      <formula>AMK262120="Recheios para Bolos"</formula>
    </cfRule>
  </conditionalFormatting>
  <conditionalFormatting sqref="F28">
    <cfRule type="expression" dxfId="147" priority="70">
      <formula>AMK262119="Recheios para Bolos"</formula>
    </cfRule>
  </conditionalFormatting>
  <conditionalFormatting sqref="F29">
    <cfRule type="expression" dxfId="146" priority="71">
      <formula>AMK262118="Recheios para Bolos"</formula>
    </cfRule>
  </conditionalFormatting>
  <conditionalFormatting sqref="F30">
    <cfRule type="expression" dxfId="145" priority="72">
      <formula>AMK262117="Recheios para Bolos"</formula>
    </cfRule>
  </conditionalFormatting>
  <conditionalFormatting sqref="F31">
    <cfRule type="expression" dxfId="144" priority="73">
      <formula>AMK262116="Recheios para Bolos"</formula>
    </cfRule>
  </conditionalFormatting>
  <conditionalFormatting sqref="F32">
    <cfRule type="expression" dxfId="143" priority="74">
      <formula>AMK262115="Recheios para Bolos"</formula>
    </cfRule>
  </conditionalFormatting>
  <conditionalFormatting sqref="F33">
    <cfRule type="expression" dxfId="142" priority="75">
      <formula>AMK262114="Recheios para Bolos"</formula>
    </cfRule>
  </conditionalFormatting>
  <conditionalFormatting sqref="B10:F37">
    <cfRule type="expression" dxfId="141" priority="13">
      <formula>$E$2="Geléia de Morango"</formula>
    </cfRule>
    <cfRule type="expression" dxfId="140" priority="14">
      <formula>$E$2="Recheios para Bolos"</formula>
    </cfRule>
  </conditionalFormatting>
  <conditionalFormatting sqref="B3:D3 B5:D5">
    <cfRule type="expression" dxfId="139" priority="6">
      <formula>$E$2="Brigadeiros"</formula>
    </cfRule>
    <cfRule type="expression" dxfId="138" priority="21">
      <formula>$E$2="Brigadeiros"</formula>
    </cfRule>
  </conditionalFormatting>
  <conditionalFormatting sqref="B4:D5">
    <cfRule type="expression" dxfId="137" priority="17">
      <formula>$E$2="Recheios para Bolos"</formula>
    </cfRule>
  </conditionalFormatting>
  <conditionalFormatting sqref="C9 E9:F9">
    <cfRule type="expression" dxfId="136" priority="11">
      <formula>$E$2="Geléia de Morango"</formula>
    </cfRule>
  </conditionalFormatting>
  <conditionalFormatting sqref="B4:D4">
    <cfRule type="expression" dxfId="135" priority="10">
      <formula>$E$2="Geléia de Morango"</formula>
    </cfRule>
  </conditionalFormatting>
  <conditionalFormatting sqref="B13:E13">
    <cfRule type="expression" dxfId="134" priority="7">
      <formula>E262140="Recheios para Bolos"</formula>
    </cfRule>
  </conditionalFormatting>
  <conditionalFormatting sqref="B13:E13">
    <cfRule type="expression" dxfId="133" priority="8">
      <formula>E262140="Recheios para Bolos"</formula>
    </cfRule>
  </conditionalFormatting>
  <conditionalFormatting sqref="B10:F38">
    <cfRule type="expression" dxfId="132" priority="5">
      <formula>$E$2="Recheios para Bolos"</formula>
    </cfRule>
  </conditionalFormatting>
  <conditionalFormatting sqref="B4:D5 E5">
    <cfRule type="expression" dxfId="131" priority="4">
      <formula>$E$2="Recheios para Bolos"</formula>
    </cfRule>
  </conditionalFormatting>
  <conditionalFormatting sqref="B4:D4 F8:F9 B10:E15 F14:F15 B21:F32 B35:F37">
    <cfRule type="expression" dxfId="130" priority="3">
      <formula>$E$2="Geléia de Morango"</formula>
    </cfRule>
  </conditionalFormatting>
  <conditionalFormatting sqref="B6:D6">
    <cfRule type="expression" dxfId="129" priority="2">
      <formula>$E$2="Recheios para Bolos"</formula>
    </cfRule>
    <cfRule type="expression" dxfId="128" priority="1">
      <formula>$E$2="Brigadeiros"</formula>
    </cfRule>
  </conditionalFormatting>
  <dataValidations count="2">
    <dataValidation type="list" allowBlank="1" showInputMessage="1" showErrorMessage="1" error="Escolha entre as opções disponíveis" prompt="Escolha o tipo do acabamento com o tipo de massa" sqref="C23:C32" xr:uid="{00000000-0002-0000-0000-000000000000}">
      <formula1>$AA$20:$AA$27</formula1>
    </dataValidation>
    <dataValidation type="list" allowBlank="1" showInputMessage="1" showErrorMessage="1" error="Selecione as opçoes existentes entre &quot;Brigadeiros&quot; , &quot;Recheios para Bolos&quot; ou &quot;Geléia de Morango&quot;" prompt="Escolha a Receita" sqref="E2" xr:uid="{00000000-0002-0000-0000-000001000000}">
      <formula1>"Brigadeiros,Recheios para Bolos,Geléia de Morango"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Káic Lorran Vicente Prudencio</cp:lastModifiedBy>
  <dcterms:created xsi:type="dcterms:W3CDTF">2025-03-04T18:21:58Z</dcterms:created>
  <dcterms:modified xsi:type="dcterms:W3CDTF">2025-03-04T23:28:29Z</dcterms:modified>
</cp:coreProperties>
</file>