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showInkAnnotation="0" autoCompressPictures="0" defaultThemeVersion="166925"/>
  <xr:revisionPtr revIDLastSave="1" documentId="11_CFC9BF48BD4B15F84BB0D9BFD3CDD510D4CDD9BE" xr6:coauthVersionLast="47" xr6:coauthVersionMax="47" xr10:uidLastSave="{8EF9C508-5622-4196-9119-87C719A76986}"/>
  <bookViews>
    <workbookView xWindow="0" yWindow="0" windowWidth="16384" windowHeight="8192" xr2:uid="{00000000-000D-0000-FFFF-FFFF00000000}"/>
  </bookViews>
  <sheets>
    <sheet name="Festa na caix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L21" i="1"/>
  <c r="K21" i="1"/>
  <c r="J21" i="1"/>
  <c r="I21" i="1"/>
  <c r="H21" i="1"/>
  <c r="L20" i="1"/>
  <c r="K20" i="1"/>
  <c r="J20" i="1"/>
  <c r="I20" i="1"/>
  <c r="H20" i="1"/>
  <c r="G19" i="1"/>
  <c r="D19" i="1"/>
  <c r="C19" i="1"/>
  <c r="G18" i="1"/>
  <c r="D18" i="1"/>
  <c r="C18" i="1"/>
  <c r="G17" i="1"/>
  <c r="D17" i="1"/>
  <c r="C17" i="1"/>
  <c r="G16" i="1"/>
  <c r="D16" i="1"/>
  <c r="C16" i="1"/>
  <c r="G15" i="1"/>
  <c r="D15" i="1"/>
  <c r="C15" i="1"/>
  <c r="D14" i="1"/>
  <c r="C14" i="1"/>
  <c r="D13" i="1"/>
  <c r="C13" i="1"/>
  <c r="O10" i="1"/>
  <c r="C7" i="1"/>
  <c r="P6" i="1"/>
  <c r="P5" i="1"/>
  <c r="L13" i="1" l="1"/>
  <c r="K13" i="1"/>
  <c r="J13" i="1"/>
  <c r="I13" i="1"/>
  <c r="H13" i="1"/>
  <c r="G13" i="1" s="1"/>
  <c r="L14" i="1"/>
  <c r="K14" i="1"/>
  <c r="J14" i="1"/>
  <c r="I14" i="1"/>
  <c r="H14" i="1"/>
  <c r="G14" i="1" s="1"/>
  <c r="L15" i="1"/>
  <c r="K15" i="1"/>
  <c r="J15" i="1"/>
  <c r="I15" i="1"/>
  <c r="H15" i="1"/>
  <c r="L16" i="1"/>
  <c r="K16" i="1"/>
  <c r="J16" i="1"/>
  <c r="I16" i="1"/>
  <c r="H16" i="1"/>
  <c r="L17" i="1"/>
  <c r="K17" i="1"/>
  <c r="J17" i="1"/>
  <c r="I17" i="1"/>
  <c r="H17" i="1"/>
  <c r="L18" i="1"/>
  <c r="K18" i="1"/>
  <c r="J18" i="1"/>
  <c r="I18" i="1"/>
  <c r="H18" i="1"/>
  <c r="L19" i="1"/>
  <c r="K19" i="1"/>
  <c r="J19" i="1"/>
  <c r="I19" i="1"/>
  <c r="H19" i="1"/>
  <c r="L22" i="1"/>
  <c r="K22" i="1"/>
  <c r="J22" i="1"/>
  <c r="I22" i="1"/>
  <c r="H22" i="1"/>
  <c r="G22" i="1" s="1"/>
  <c r="L23" i="1"/>
  <c r="K23" i="1"/>
  <c r="J23" i="1"/>
  <c r="I23" i="1"/>
  <c r="H23" i="1"/>
  <c r="G23" i="1" s="1"/>
  <c r="L24" i="1"/>
  <c r="K24" i="1"/>
  <c r="J24" i="1"/>
  <c r="I24" i="1"/>
  <c r="H24" i="1"/>
  <c r="G24" i="1" s="1"/>
  <c r="L25" i="1"/>
  <c r="K25" i="1"/>
  <c r="J25" i="1"/>
  <c r="I25" i="1"/>
  <c r="H25" i="1"/>
  <c r="G25" i="1" s="1"/>
  <c r="L26" i="1"/>
  <c r="K26" i="1"/>
  <c r="J26" i="1"/>
  <c r="I26" i="1"/>
  <c r="H26" i="1"/>
  <c r="G26" i="1" s="1"/>
  <c r="L27" i="1"/>
  <c r="K27" i="1"/>
  <c r="J27" i="1"/>
  <c r="I27" i="1"/>
  <c r="H27" i="1"/>
  <c r="G27" i="1" s="1"/>
  <c r="L28" i="1"/>
  <c r="K28" i="1"/>
  <c r="J28" i="1"/>
  <c r="I28" i="1"/>
  <c r="H28" i="1"/>
  <c r="G28" i="1" s="1"/>
  <c r="O7" i="1" l="1"/>
  <c r="F10" i="1" l="1"/>
  <c r="P7" i="1"/>
  <c r="F9" i="1" s="1"/>
  <c r="C9" i="1" s="1"/>
  <c r="C10" i="1" l="1"/>
  <c r="G7" i="1"/>
  <c r="R7" i="1" s="1"/>
  <c r="R6" i="1" s="1"/>
</calcChain>
</file>

<file path=xl/sharedStrings.xml><?xml version="1.0" encoding="utf-8"?>
<sst xmlns="http://schemas.openxmlformats.org/spreadsheetml/2006/main" count="48" uniqueCount="39">
  <si>
    <t>Precificação Doce Lua 2025</t>
  </si>
  <si>
    <t>Ficha Técnica</t>
  </si>
  <si>
    <t>Festa na caixa</t>
  </si>
  <si>
    <t>Informações necessárias para a precificação deste produto</t>
  </si>
  <si>
    <t>Descrição</t>
  </si>
  <si>
    <t>Custos</t>
  </si>
  <si>
    <t>Total da receita</t>
  </si>
  <si>
    <t>por unidade de rendimento</t>
  </si>
  <si>
    <t>mão de obra</t>
  </si>
  <si>
    <t>Rendimento:</t>
  </si>
  <si>
    <t>* Valor de Venda unidade</t>
  </si>
  <si>
    <t>despesas totais</t>
  </si>
  <si>
    <t>Valor total de venda da receita</t>
  </si>
  <si>
    <t>% Lucro:</t>
  </si>
  <si>
    <t>custo de ingredientes e insumos</t>
  </si>
  <si>
    <t>Lucro mínimo ideal:</t>
  </si>
  <si>
    <t>Lucro por unidade (R$)</t>
  </si>
  <si>
    <t xml:space="preserve">Custo por unidade </t>
  </si>
  <si>
    <t>mão de obra + despesas totais + custo de ingredientes e insumos</t>
  </si>
  <si>
    <t>Lucro da Receita (R$)</t>
  </si>
  <si>
    <t>custo total da Receita</t>
  </si>
  <si>
    <t>Tempo gasto no preparo da receita</t>
  </si>
  <si>
    <t>minutos</t>
  </si>
  <si>
    <t>Ingredientes</t>
  </si>
  <si>
    <t>Qtd. Embalagem</t>
  </si>
  <si>
    <t>Custo produto completo</t>
  </si>
  <si>
    <t>Quantidade na receita</t>
  </si>
  <si>
    <t>Custo do Ingrediente usado na receita</t>
  </si>
  <si>
    <t>Unidade</t>
  </si>
  <si>
    <t>Xícara</t>
  </si>
  <si>
    <t>Colher de Sopa</t>
  </si>
  <si>
    <t>Colher de chá</t>
  </si>
  <si>
    <t>Ml/Kg</t>
  </si>
  <si>
    <t>Etapas de Preparo</t>
  </si>
  <si>
    <t>Tempo gasto (minutos)</t>
  </si>
  <si>
    <t>Coca Cola 350ml</t>
  </si>
  <si>
    <t>Custo Receita Brigadeiro unit. Pronto</t>
  </si>
  <si>
    <t>Fechamento: Finalização, Pacotes e Etiquetas</t>
  </si>
  <si>
    <t>Caixa 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</si>
</sst>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gt;0]_(&quot;R$&quot;* #,##0.00_);[&lt;0]_(&quot;R$&quot;* \(#,##0.00\);_(&quot;R$&quot;* &quot;-&quot;#??_)"/>
    <numFmt numFmtId="165" formatCode="#0%"/>
    <numFmt numFmtId="166" formatCode="[&gt;0]_-&quot;R$&quot;\ * #,##0.00_-;[&lt;0]\-&quot;R$&quot;\ * #,##0.00_-;_-&quot;R$&quot;\ * &quot;-&quot;#??_-"/>
  </numFmts>
  <fonts count="18">
    <font>
      <sz val="11"/>
      <color rgb="FF000000"/>
      <name val="Aptos Narrow"/>
    </font>
    <font>
      <sz val="11"/>
      <name val="Arial Narrow"/>
    </font>
    <font>
      <sz val="8"/>
      <name val="Georgia"/>
    </font>
    <font>
      <sz val="11"/>
      <name val="Aptos Narrow"/>
    </font>
    <font>
      <b/>
      <sz val="14"/>
      <name val="Georgia"/>
    </font>
    <font>
      <b/>
      <sz val="14"/>
      <color rgb="FFFFFFFF"/>
      <name val="Georgia"/>
    </font>
    <font>
      <b/>
      <sz val="11"/>
      <name val="Georgia"/>
    </font>
    <font>
      <sz val="9"/>
      <name val="Georgia"/>
    </font>
    <font>
      <sz val="28"/>
      <name val="Ramadhan Mubarak"/>
    </font>
    <font>
      <b/>
      <sz val="16"/>
      <name val="Agency FB"/>
    </font>
    <font>
      <sz val="11"/>
      <name val="Georgia"/>
    </font>
    <font>
      <b/>
      <sz val="9"/>
      <name val="Georgia"/>
    </font>
    <font>
      <sz val="8"/>
      <name val="Aptos Narrow"/>
    </font>
    <font>
      <sz val="8"/>
      <name val="Arial Narrow"/>
    </font>
    <font>
      <b/>
      <sz val="11"/>
      <name val="Arial Narrow"/>
    </font>
    <font>
      <b/>
      <sz val="8"/>
      <name val="Times New Roman"/>
    </font>
    <font>
      <b/>
      <sz val="8"/>
      <name val="Georgia"/>
    </font>
    <font>
      <sz val="8"/>
      <color rgb="FFFFFFFF"/>
      <name val="Georgia"/>
    </font>
  </fonts>
  <fills count="16">
    <fill>
      <patternFill patternType="none"/>
    </fill>
    <fill>
      <patternFill patternType="gray125"/>
    </fill>
    <fill>
      <patternFill patternType="solid">
        <fgColor rgb="FFCAEEFB"/>
        <bgColor rgb="FFCAEEFB"/>
      </patternFill>
    </fill>
    <fill>
      <patternFill patternType="solid">
        <fgColor rgb="FF002060"/>
        <bgColor rgb="FF002060"/>
      </patternFill>
    </fill>
    <fill>
      <gradientFill degree="45">
        <stop position="0">
          <color rgb="FFFFFFFF"/>
        </stop>
        <stop position="1">
          <color rgb="FFD49CA2"/>
        </stop>
      </gradientFill>
    </fill>
    <fill>
      <patternFill patternType="solid">
        <fgColor rgb="FFD9F2D0"/>
        <bgColor rgb="FFD9F2D0"/>
      </patternFill>
    </fill>
    <fill>
      <patternFill patternType="solid">
        <fgColor rgb="FFFFEFEF"/>
        <bgColor rgb="FF000000"/>
      </patternFill>
    </fill>
    <fill>
      <gradientFill degree="45">
        <stop position="0">
          <color rgb="FFFFFFFF"/>
        </stop>
        <stop position="1">
          <color rgb="FF9290DB"/>
        </stop>
      </gradientFill>
    </fill>
    <fill>
      <patternFill patternType="solid">
        <fgColor rgb="FFBDDBB2"/>
        <bgColor rgb="FFBDDBB2"/>
      </patternFill>
    </fill>
    <fill>
      <gradientFill degree="45">
        <stop position="0">
          <color rgb="FFFFFFFF"/>
        </stop>
        <stop position="1">
          <color rgb="FFDEEAF6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B4E5A2"/>
        <bgColor rgb="FFB4E5A2"/>
      </patternFill>
    </fill>
    <fill>
      <gradientFill degree="90">
        <stop position="0">
          <color rgb="FFFFFFFF"/>
        </stop>
        <stop position="1">
          <color rgb="FFFFFF00"/>
        </stop>
      </gradientFill>
    </fill>
    <fill>
      <patternFill patternType="solid">
        <fgColor rgb="FFD49CA2"/>
        <bgColor rgb="FFD49CA2"/>
      </patternFill>
    </fill>
    <fill>
      <gradientFill degree="45">
        <stop position="0">
          <color rgb="FFFFFFFF"/>
        </stop>
        <stop position="1">
          <color rgb="FFB4E5A2"/>
        </stop>
      </gradientFill>
    </fill>
    <fill>
      <patternFill patternType="solid">
        <fgColor rgb="FFD49CA2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6" fillId="4" borderId="4" xfId="0" applyFont="1" applyFill="1" applyBorder="1" applyAlignment="1">
      <alignment horizontal="right" vertical="center"/>
    </xf>
    <xf numFmtId="0" fontId="1" fillId="6" borderId="0" xfId="0" applyFont="1" applyFill="1"/>
    <xf numFmtId="0" fontId="1" fillId="0" borderId="0" xfId="0" applyFont="1" applyAlignment="1">
      <alignment horizontal="right"/>
    </xf>
    <xf numFmtId="0" fontId="6" fillId="7" borderId="4" xfId="0" applyFont="1" applyFill="1" applyBorder="1" applyAlignment="1">
      <alignment horizontal="right" vertical="center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1" fillId="9" borderId="12" xfId="0" applyFont="1" applyFill="1" applyBorder="1"/>
    <xf numFmtId="164" fontId="1" fillId="10" borderId="13" xfId="0" applyNumberFormat="1" applyFont="1" applyFill="1" applyBorder="1"/>
    <xf numFmtId="164" fontId="1" fillId="10" borderId="14" xfId="0" applyNumberFormat="1" applyFont="1" applyFill="1" applyBorder="1"/>
    <xf numFmtId="0" fontId="2" fillId="9" borderId="15" xfId="0" applyFont="1" applyFill="1" applyBorder="1" applyAlignment="1">
      <alignment horizontal="right"/>
    </xf>
    <xf numFmtId="0" fontId="10" fillId="11" borderId="16" xfId="0" applyFont="1" applyFill="1" applyBorder="1"/>
    <xf numFmtId="164" fontId="2" fillId="11" borderId="16" xfId="0" applyNumberFormat="1" applyFont="1" applyFill="1" applyBorder="1" applyAlignment="1">
      <alignment horizontal="center"/>
    </xf>
    <xf numFmtId="0" fontId="1" fillId="9" borderId="18" xfId="0" applyFont="1" applyFill="1" applyBorder="1"/>
    <xf numFmtId="164" fontId="1" fillId="10" borderId="19" xfId="0" applyNumberFormat="1" applyFont="1" applyFill="1" applyBorder="1"/>
    <xf numFmtId="164" fontId="1" fillId="10" borderId="20" xfId="0" applyNumberFormat="1" applyFont="1" applyFill="1" applyBorder="1"/>
    <xf numFmtId="0" fontId="2" fillId="9" borderId="4" xfId="0" applyFont="1" applyFill="1" applyBorder="1" applyAlignment="1">
      <alignment horizontal="right"/>
    </xf>
    <xf numFmtId="164" fontId="2" fillId="10" borderId="6" xfId="0" applyNumberFormat="1" applyFont="1" applyFill="1" applyBorder="1"/>
    <xf numFmtId="165" fontId="11" fillId="12" borderId="6" xfId="0" applyNumberFormat="1" applyFont="1" applyFill="1" applyBorder="1" applyAlignment="1">
      <alignment horizontal="center" vertical="center"/>
    </xf>
    <xf numFmtId="0" fontId="1" fillId="9" borderId="21" xfId="0" applyFont="1" applyFill="1" applyBorder="1"/>
    <xf numFmtId="164" fontId="1" fillId="10" borderId="22" xfId="0" applyNumberFormat="1" applyFont="1" applyFill="1" applyBorder="1"/>
    <xf numFmtId="164" fontId="1" fillId="10" borderId="23" xfId="0" applyNumberFormat="1" applyFont="1" applyFill="1" applyBorder="1"/>
    <xf numFmtId="0" fontId="12" fillId="2" borderId="0" xfId="0" applyFont="1" applyFill="1" applyAlignment="1">
      <alignment horizontal="right" vertical="top"/>
    </xf>
    <xf numFmtId="9" fontId="12" fillId="2" borderId="0" xfId="0" applyNumberFormat="1" applyFont="1" applyFill="1" applyAlignment="1">
      <alignment horizontal="center" vertical="top"/>
    </xf>
    <xf numFmtId="164" fontId="2" fillId="10" borderId="16" xfId="0" applyNumberFormat="1" applyFont="1" applyFill="1" applyBorder="1"/>
    <xf numFmtId="164" fontId="2" fillId="10" borderId="17" xfId="0" applyNumberFormat="1" applyFont="1" applyFill="1" applyBorder="1"/>
    <xf numFmtId="164" fontId="2" fillId="10" borderId="5" xfId="0" applyNumberFormat="1" applyFont="1" applyFill="1" applyBorder="1"/>
    <xf numFmtId="0" fontId="13" fillId="6" borderId="0" xfId="0" applyFont="1" applyFill="1"/>
    <xf numFmtId="0" fontId="13" fillId="2" borderId="0" xfId="0" applyFont="1" applyFill="1"/>
    <xf numFmtId="0" fontId="1" fillId="9" borderId="24" xfId="0" applyFont="1" applyFill="1" applyBorder="1" applyAlignment="1">
      <alignment wrapText="1"/>
    </xf>
    <xf numFmtId="0" fontId="14" fillId="10" borderId="25" xfId="0" applyFont="1" applyFill="1" applyBorder="1" applyAlignment="1">
      <alignment horizontal="center" vertical="center"/>
    </xf>
    <xf numFmtId="0" fontId="1" fillId="10" borderId="11" xfId="0" applyFont="1" applyFill="1" applyBorder="1"/>
    <xf numFmtId="0" fontId="15" fillId="2" borderId="0" xfId="0" applyFont="1" applyFill="1"/>
    <xf numFmtId="0" fontId="16" fillId="13" borderId="15" xfId="0" applyFont="1" applyFill="1" applyBorder="1" applyAlignment="1">
      <alignment horizontal="center" vertical="center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16" xfId="0" applyFont="1" applyFill="1" applyBorder="1" applyAlignment="1">
      <alignment horizontal="center" vertical="center" wrapText="1"/>
    </xf>
    <xf numFmtId="0" fontId="15" fillId="6" borderId="0" xfId="0" applyFont="1" applyFill="1"/>
    <xf numFmtId="0" fontId="15" fillId="7" borderId="9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5" fillId="0" borderId="0" xfId="0" applyFont="1"/>
    <xf numFmtId="0" fontId="1" fillId="2" borderId="0" xfId="0" applyFont="1" applyFill="1" applyAlignment="1">
      <alignment wrapText="1"/>
    </xf>
    <xf numFmtId="0" fontId="2" fillId="5" borderId="26" xfId="0" applyFont="1" applyFill="1" applyBorder="1" applyAlignment="1">
      <alignment wrapText="1"/>
    </xf>
    <xf numFmtId="0" fontId="2" fillId="10" borderId="27" xfId="0" applyFont="1" applyFill="1" applyBorder="1" applyAlignment="1">
      <alignment wrapText="1"/>
    </xf>
    <xf numFmtId="164" fontId="2" fillId="10" borderId="27" xfId="0" applyNumberFormat="1" applyFont="1" applyFill="1" applyBorder="1" applyAlignment="1">
      <alignment wrapText="1"/>
    </xf>
    <xf numFmtId="0" fontId="2" fillId="5" borderId="27" xfId="0" applyFont="1" applyFill="1" applyBorder="1" applyAlignment="1">
      <alignment wrapText="1"/>
    </xf>
    <xf numFmtId="164" fontId="2" fillId="10" borderId="28" xfId="0" applyNumberFormat="1" applyFont="1" applyFill="1" applyBorder="1" applyAlignment="1">
      <alignment wrapText="1"/>
    </xf>
    <xf numFmtId="0" fontId="1" fillId="6" borderId="0" xfId="0" applyFont="1" applyFill="1" applyAlignment="1">
      <alignment wrapText="1"/>
    </xf>
    <xf numFmtId="166" fontId="1" fillId="6" borderId="0" xfId="0" applyNumberFormat="1" applyFont="1" applyFill="1" applyAlignment="1">
      <alignment wrapText="1"/>
    </xf>
    <xf numFmtId="166" fontId="1" fillId="2" borderId="0" xfId="0" applyNumberFormat="1" applyFont="1" applyFill="1" applyAlignment="1">
      <alignment wrapText="1"/>
    </xf>
    <xf numFmtId="0" fontId="1" fillId="14" borderId="12" xfId="0" applyFont="1" applyFill="1" applyBorder="1" applyAlignment="1">
      <alignment wrapText="1"/>
    </xf>
    <xf numFmtId="0" fontId="1" fillId="14" borderId="14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2" fillId="8" borderId="26" xfId="0" applyFont="1" applyFill="1" applyBorder="1" applyAlignment="1">
      <alignment wrapText="1"/>
    </xf>
    <xf numFmtId="0" fontId="2" fillId="8" borderId="27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10" borderId="5" xfId="0" applyFont="1" applyFill="1" applyBorder="1" applyAlignment="1">
      <alignment wrapText="1"/>
    </xf>
    <xf numFmtId="164" fontId="2" fillId="10" borderId="5" xfId="0" applyNumberFormat="1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164" fontId="2" fillId="10" borderId="6" xfId="0" applyNumberFormat="1" applyFont="1" applyFill="1" applyBorder="1" applyAlignment="1">
      <alignment wrapText="1"/>
    </xf>
    <xf numFmtId="0" fontId="17" fillId="2" borderId="0" xfId="0" applyFont="1" applyFill="1" applyAlignment="1">
      <alignment wrapText="1"/>
    </xf>
    <xf numFmtId="164" fontId="17" fillId="2" borderId="0" xfId="0" applyNumberFormat="1" applyFont="1" applyFill="1" applyAlignment="1">
      <alignment wrapText="1"/>
    </xf>
    <xf numFmtId="0" fontId="16" fillId="15" borderId="3" xfId="0" applyFont="1" applyFill="1" applyBorder="1" applyAlignment="1">
      <alignment vertical="center" wrapText="1"/>
    </xf>
    <xf numFmtId="166" fontId="1" fillId="6" borderId="0" xfId="0" applyNumberFormat="1" applyFont="1" applyFill="1"/>
    <xf numFmtId="0" fontId="2" fillId="0" borderId="2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right"/>
    </xf>
    <xf numFmtId="0" fontId="2" fillId="9" borderId="17" xfId="0" applyFont="1" applyFill="1" applyBorder="1" applyAlignment="1">
      <alignment horizontal="right"/>
    </xf>
    <xf numFmtId="0" fontId="11" fillId="12" borderId="4" xfId="0" applyFont="1" applyFill="1" applyBorder="1" applyAlignment="1">
      <alignment horizontal="right" vertical="center"/>
    </xf>
    <xf numFmtId="0" fontId="11" fillId="12" borderId="5" xfId="0" applyFont="1" applyFill="1" applyBorder="1" applyAlignment="1">
      <alignment horizontal="right" vertical="center"/>
    </xf>
    <xf numFmtId="0" fontId="16" fillId="13" borderId="17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right"/>
    </xf>
    <xf numFmtId="0" fontId="2" fillId="10" borderId="3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/>
    <xf numFmtId="0" fontId="5" fillId="3" borderId="3" xfId="0" applyFont="1" applyFill="1" applyBorder="1" applyAlignment="1"/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98"/>
  <sheetViews>
    <sheetView tabSelected="1" workbookViewId="0">
      <selection activeCell="G7" sqref="G7"/>
    </sheetView>
  </sheetViews>
  <sheetFormatPr defaultRowHeight="14.1" customHeight="1"/>
  <cols>
    <col min="1" max="1" width="1.42578125" style="1"/>
    <col min="2" max="2" width="20.5703125" style="2"/>
    <col min="3" max="4" width="10" style="2"/>
    <col min="5" max="5" width="7" style="2"/>
    <col min="6" max="6" width="10" style="2"/>
    <col min="7" max="7" width="15.85546875" style="2"/>
    <col min="8" max="8" width="0" style="1" hidden="1"/>
    <col min="9" max="12" width="0" style="3" hidden="1"/>
    <col min="13" max="13" width="1.42578125" style="1"/>
    <col min="14" max="16" width="0" style="1" hidden="1"/>
    <col min="17" max="17" width="3.5703125" style="1"/>
    <col min="18" max="18" width="0" style="1" hidden="1"/>
    <col min="19" max="27" width="8.85546875" style="1"/>
    <col min="28" max="1020" width="14.42578125" style="1"/>
    <col min="1021" max="1024" width="10.5703125" style="3"/>
  </cols>
  <sheetData>
    <row r="1" spans="1:20" ht="9" customHeight="1">
      <c r="A1" s="4"/>
      <c r="B1" s="5"/>
      <c r="C1" s="6"/>
      <c r="D1" s="6"/>
      <c r="E1" s="6"/>
      <c r="F1" s="6"/>
      <c r="G1" s="6"/>
      <c r="M1" s="4"/>
    </row>
    <row r="2" spans="1:20" ht="18.95" customHeight="1">
      <c r="A2" s="4"/>
      <c r="B2" s="73" t="s">
        <v>0</v>
      </c>
      <c r="C2" s="88"/>
      <c r="D2" s="88"/>
      <c r="E2" s="88"/>
      <c r="F2" s="88"/>
      <c r="G2" s="89"/>
      <c r="M2" s="4"/>
    </row>
    <row r="3" spans="1:20" ht="23.1" customHeight="1">
      <c r="A3" s="4"/>
      <c r="B3" s="7" t="s">
        <v>1</v>
      </c>
      <c r="C3" s="77" t="s">
        <v>2</v>
      </c>
      <c r="D3" s="90"/>
      <c r="E3" s="90"/>
      <c r="F3" s="90"/>
      <c r="G3" s="91"/>
      <c r="H3" s="8"/>
      <c r="I3" s="8"/>
      <c r="J3" s="8"/>
      <c r="K3" s="8"/>
      <c r="L3" s="8"/>
      <c r="M3" s="4"/>
      <c r="N3" s="86" t="s">
        <v>3</v>
      </c>
      <c r="O3" s="87"/>
      <c r="P3" s="87"/>
      <c r="T3" s="9"/>
    </row>
    <row r="4" spans="1:20" ht="21" customHeight="1">
      <c r="A4" s="4"/>
      <c r="B4" s="10" t="s">
        <v>4</v>
      </c>
      <c r="C4" s="76"/>
      <c r="D4" s="90"/>
      <c r="E4" s="90"/>
      <c r="F4" s="90"/>
      <c r="G4" s="91"/>
      <c r="H4" s="8"/>
      <c r="I4" s="8"/>
      <c r="J4" s="8"/>
      <c r="K4" s="8"/>
      <c r="L4" s="8"/>
      <c r="M4" s="4"/>
      <c r="N4" s="11" t="s">
        <v>5</v>
      </c>
      <c r="O4" s="12" t="s">
        <v>6</v>
      </c>
      <c r="P4" s="13" t="s">
        <v>7</v>
      </c>
    </row>
    <row r="5" spans="1:20" ht="24" customHeight="1">
      <c r="A5" s="4"/>
      <c r="B5" s="14"/>
      <c r="C5" s="14"/>
      <c r="D5" s="14"/>
      <c r="E5" s="14"/>
      <c r="F5" s="14"/>
      <c r="G5" s="14"/>
      <c r="H5" s="8"/>
      <c r="I5" s="8"/>
      <c r="J5" s="8"/>
      <c r="K5" s="8"/>
      <c r="L5" s="8"/>
      <c r="M5" s="4"/>
      <c r="N5" s="15" t="s">
        <v>8</v>
      </c>
      <c r="O5" s="16">
        <v>0</v>
      </c>
      <c r="P5" s="17">
        <f t="shared" ref="P5:P7" si="0">IFERROR(O5/$C$6,"")</f>
        <v>0</v>
      </c>
    </row>
    <row r="6" spans="1:20" ht="18" customHeight="1">
      <c r="A6" s="4"/>
      <c r="B6" s="18" t="s">
        <v>9</v>
      </c>
      <c r="C6" s="19">
        <v>1</v>
      </c>
      <c r="D6" s="14"/>
      <c r="E6" s="83" t="s">
        <v>10</v>
      </c>
      <c r="F6" s="79"/>
      <c r="G6" s="20">
        <v>14</v>
      </c>
      <c r="H6" s="8"/>
      <c r="I6" s="8"/>
      <c r="J6" s="8"/>
      <c r="K6" s="8"/>
      <c r="L6" s="8"/>
      <c r="M6" s="4"/>
      <c r="N6" s="21" t="s">
        <v>11</v>
      </c>
      <c r="O6" s="22">
        <v>0</v>
      </c>
      <c r="P6" s="23">
        <f t="shared" si="0"/>
        <v>0</v>
      </c>
      <c r="R6" s="1" t="e">
        <f>R7*10</f>
        <v>#VALUE!</v>
      </c>
    </row>
    <row r="7" spans="1:20" ht="17.100000000000001" customHeight="1">
      <c r="A7" s="4"/>
      <c r="B7" s="24" t="s">
        <v>12</v>
      </c>
      <c r="C7" s="25">
        <f>C6*G6</f>
        <v>14</v>
      </c>
      <c r="D7" s="14"/>
      <c r="E7" s="80" t="s">
        <v>13</v>
      </c>
      <c r="F7" s="81"/>
      <c r="G7" s="26" t="str">
        <f>IFERROR(C7/F10-1,"")</f>
        <v/>
      </c>
      <c r="H7" s="8"/>
      <c r="I7" s="8"/>
      <c r="J7" s="8"/>
      <c r="K7" s="8"/>
      <c r="L7" s="8"/>
      <c r="M7" s="4"/>
      <c r="N7" s="27" t="s">
        <v>14</v>
      </c>
      <c r="O7" s="28">
        <f>SUBTOTAL(9,$G$13:$G$198)</f>
        <v>0</v>
      </c>
      <c r="P7" s="29">
        <f t="shared" si="0"/>
        <v>0</v>
      </c>
      <c r="R7" s="1" t="e">
        <f>VALUE(G7)</f>
        <v>#VALUE!</v>
      </c>
    </row>
    <row r="8" spans="1:20" ht="14.1" customHeight="1">
      <c r="A8" s="4"/>
      <c r="B8" s="14"/>
      <c r="C8" s="14"/>
      <c r="D8" s="14"/>
      <c r="E8" s="14"/>
      <c r="F8" s="30" t="s">
        <v>15</v>
      </c>
      <c r="G8" s="31">
        <v>1.5</v>
      </c>
      <c r="H8" s="8"/>
      <c r="I8" s="8"/>
      <c r="J8" s="8"/>
      <c r="K8" s="8"/>
      <c r="L8" s="8"/>
      <c r="M8" s="4"/>
    </row>
    <row r="9" spans="1:20" ht="18" customHeight="1">
      <c r="A9" s="4"/>
      <c r="B9" s="18" t="s">
        <v>16</v>
      </c>
      <c r="C9" s="32">
        <f>IFERROR(G6-F9,"")</f>
        <v>14</v>
      </c>
      <c r="D9" s="79" t="s">
        <v>17</v>
      </c>
      <c r="E9" s="79"/>
      <c r="F9" s="33">
        <f>IFERROR(P5+P6+P7,"")</f>
        <v>0</v>
      </c>
      <c r="G9" s="84" t="s">
        <v>18</v>
      </c>
      <c r="H9" s="8"/>
      <c r="I9" s="8"/>
      <c r="J9" s="8"/>
      <c r="K9" s="8"/>
      <c r="L9" s="8"/>
      <c r="M9" s="4"/>
    </row>
    <row r="10" spans="1:20" ht="18" customHeight="1">
      <c r="A10" s="4"/>
      <c r="B10" s="24" t="s">
        <v>19</v>
      </c>
      <c r="C10" s="25">
        <f>C7-F10</f>
        <v>14</v>
      </c>
      <c r="D10" s="78" t="s">
        <v>20</v>
      </c>
      <c r="E10" s="78"/>
      <c r="F10" s="34">
        <f>O5+O6+O7</f>
        <v>0</v>
      </c>
      <c r="G10" s="85"/>
      <c r="H10" s="35"/>
      <c r="I10" s="35"/>
      <c r="J10" s="35"/>
      <c r="K10" s="35"/>
      <c r="L10" s="35"/>
      <c r="M10" s="36"/>
      <c r="N10" s="37" t="s">
        <v>21</v>
      </c>
      <c r="O10" s="38">
        <f>SUM(O13:O22)</f>
        <v>0</v>
      </c>
      <c r="P10" s="39" t="s">
        <v>22</v>
      </c>
    </row>
    <row r="11" spans="1:20" ht="21" customHeight="1">
      <c r="A11" s="4"/>
      <c r="B11" s="14"/>
      <c r="C11" s="14"/>
      <c r="D11" s="14"/>
      <c r="E11" s="14"/>
      <c r="F11" s="14"/>
      <c r="G11" s="14"/>
      <c r="H11" s="35"/>
      <c r="I11" s="35"/>
      <c r="J11" s="35"/>
      <c r="K11" s="35"/>
      <c r="L11" s="35"/>
      <c r="M11" s="36"/>
    </row>
    <row r="12" spans="1:20" s="47" customFormat="1" ht="36" customHeight="1">
      <c r="A12" s="40"/>
      <c r="B12" s="41" t="s">
        <v>23</v>
      </c>
      <c r="C12" s="42" t="s">
        <v>24</v>
      </c>
      <c r="D12" s="42" t="s">
        <v>25</v>
      </c>
      <c r="E12" s="82" t="s">
        <v>26</v>
      </c>
      <c r="F12" s="82"/>
      <c r="G12" s="43" t="s">
        <v>27</v>
      </c>
      <c r="H12" s="44" t="s">
        <v>28</v>
      </c>
      <c r="I12" s="44" t="s">
        <v>29</v>
      </c>
      <c r="J12" s="44" t="s">
        <v>30</v>
      </c>
      <c r="K12" s="44" t="s">
        <v>31</v>
      </c>
      <c r="L12" s="44" t="s">
        <v>32</v>
      </c>
      <c r="M12" s="40"/>
      <c r="N12" s="45" t="s">
        <v>33</v>
      </c>
      <c r="O12" s="46" t="s">
        <v>34</v>
      </c>
    </row>
    <row r="13" spans="1:20" s="59" customFormat="1">
      <c r="A13" s="48"/>
      <c r="B13" s="49" t="s">
        <v>35</v>
      </c>
      <c r="C13" s="50" t="e">
        <f t="shared" ref="C13:C19" si="1">IF(B13="","",VLOOKUP(B13,#REF!,3,0))</f>
        <v>#REF!</v>
      </c>
      <c r="D13" s="51" t="e">
        <f t="shared" ref="D13:D19" si="2">IF(B13="","",VLOOKUP(B13,#REF!,4,0))</f>
        <v>#REF!</v>
      </c>
      <c r="E13" s="52">
        <v>1</v>
      </c>
      <c r="F13" s="52" t="s">
        <v>28</v>
      </c>
      <c r="G13" s="53">
        <f t="shared" ref="G13:G19" si="3">IFERROR(_xlfn.IFS(F13=H$12,H13,F13=I$12,I13,F13=J$12,J13,F13=K$12,K13,F13=L$12,L13),0)</f>
        <v>0</v>
      </c>
      <c r="H13" s="54" t="e">
        <f t="shared" ref="H13:H28" si="4">_xlfn.IFS(F13="Unidade",(D13/C13)*E13)</f>
        <v>#REF!</v>
      </c>
      <c r="I13" s="55" t="e">
        <f t="shared" ref="I13:I28" si="5">(D13/C13)*160*E13</f>
        <v>#REF!</v>
      </c>
      <c r="J13" s="55" t="e">
        <f t="shared" ref="J13:J28" si="6">(D13/1000)*10*E13</f>
        <v>#REF!</v>
      </c>
      <c r="K13" s="55" t="e">
        <f t="shared" ref="K13:K28" si="7">(D13/1000)*3.5*E13</f>
        <v>#REF!</v>
      </c>
      <c r="L13" s="55" t="e">
        <f t="shared" ref="L13:L28" si="8">(D13/C13)*E13</f>
        <v>#REF!</v>
      </c>
      <c r="M13" s="56"/>
      <c r="N13" s="57"/>
      <c r="O13" s="58"/>
    </row>
    <row r="14" spans="1:20" s="59" customFormat="1" ht="20.100000000000001" customHeight="1">
      <c r="A14" s="48"/>
      <c r="B14" s="60" t="s">
        <v>36</v>
      </c>
      <c r="C14" s="50" t="e">
        <f t="shared" si="1"/>
        <v>#REF!</v>
      </c>
      <c r="D14" s="51" t="e">
        <f t="shared" si="2"/>
        <v>#REF!</v>
      </c>
      <c r="E14" s="61">
        <v>6</v>
      </c>
      <c r="F14" s="61" t="s">
        <v>28</v>
      </c>
      <c r="G14" s="53">
        <f t="shared" si="3"/>
        <v>0</v>
      </c>
      <c r="H14" s="54" t="e">
        <f t="shared" si="4"/>
        <v>#REF!</v>
      </c>
      <c r="I14" s="55" t="e">
        <f t="shared" si="5"/>
        <v>#REF!</v>
      </c>
      <c r="J14" s="55" t="e">
        <f t="shared" si="6"/>
        <v>#REF!</v>
      </c>
      <c r="K14" s="55" t="e">
        <f t="shared" si="7"/>
        <v>#REF!</v>
      </c>
      <c r="L14" s="55" t="e">
        <f t="shared" si="8"/>
        <v>#REF!</v>
      </c>
      <c r="M14" s="56"/>
      <c r="N14" s="57"/>
      <c r="O14" s="58"/>
    </row>
    <row r="15" spans="1:20" s="59" customFormat="1">
      <c r="A15" s="48"/>
      <c r="B15" s="49"/>
      <c r="C15" s="50" t="str">
        <f t="shared" si="1"/>
        <v/>
      </c>
      <c r="D15" s="51" t="str">
        <f t="shared" si="2"/>
        <v/>
      </c>
      <c r="E15" s="52"/>
      <c r="F15" s="52"/>
      <c r="G15" s="53">
        <f t="shared" si="3"/>
        <v>0</v>
      </c>
      <c r="H15" s="54" t="e">
        <f t="shared" si="4"/>
        <v>#N/A</v>
      </c>
      <c r="I15" s="55" t="e">
        <f t="shared" si="5"/>
        <v>#VALUE!</v>
      </c>
      <c r="J15" s="55" t="e">
        <f t="shared" si="6"/>
        <v>#VALUE!</v>
      </c>
      <c r="K15" s="55" t="e">
        <f t="shared" si="7"/>
        <v>#VALUE!</v>
      </c>
      <c r="L15" s="55" t="e">
        <f t="shared" si="8"/>
        <v>#VALUE!</v>
      </c>
      <c r="M15" s="56"/>
      <c r="N15" s="57"/>
      <c r="O15" s="58"/>
    </row>
    <row r="16" spans="1:20" s="59" customFormat="1">
      <c r="A16" s="48"/>
      <c r="B16" s="60"/>
      <c r="C16" s="50" t="str">
        <f t="shared" si="1"/>
        <v/>
      </c>
      <c r="D16" s="51" t="str">
        <f t="shared" si="2"/>
        <v/>
      </c>
      <c r="E16" s="61"/>
      <c r="F16" s="61"/>
      <c r="G16" s="53">
        <f t="shared" si="3"/>
        <v>0</v>
      </c>
      <c r="H16" s="54" t="e">
        <f t="shared" si="4"/>
        <v>#N/A</v>
      </c>
      <c r="I16" s="55" t="e">
        <f t="shared" si="5"/>
        <v>#VALUE!</v>
      </c>
      <c r="J16" s="55" t="e">
        <f t="shared" si="6"/>
        <v>#VALUE!</v>
      </c>
      <c r="K16" s="55" t="e">
        <f t="shared" si="7"/>
        <v>#VALUE!</v>
      </c>
      <c r="L16" s="55" t="e">
        <f t="shared" si="8"/>
        <v>#VALUE!</v>
      </c>
      <c r="M16" s="56"/>
      <c r="N16" s="57"/>
      <c r="O16" s="58"/>
    </row>
    <row r="17" spans="1:13" s="59" customFormat="1">
      <c r="A17" s="48"/>
      <c r="B17" s="49"/>
      <c r="C17" s="50" t="str">
        <f t="shared" si="1"/>
        <v/>
      </c>
      <c r="D17" s="51" t="str">
        <f t="shared" si="2"/>
        <v/>
      </c>
      <c r="E17" s="52"/>
      <c r="F17" s="52"/>
      <c r="G17" s="53">
        <f t="shared" si="3"/>
        <v>0</v>
      </c>
      <c r="H17" s="54" t="e">
        <f t="shared" si="4"/>
        <v>#N/A</v>
      </c>
      <c r="I17" s="55" t="e">
        <f t="shared" si="5"/>
        <v>#VALUE!</v>
      </c>
      <c r="J17" s="55" t="e">
        <f t="shared" si="6"/>
        <v>#VALUE!</v>
      </c>
      <c r="K17" s="55" t="e">
        <f t="shared" si="7"/>
        <v>#VALUE!</v>
      </c>
      <c r="L17" s="55" t="e">
        <f t="shared" si="8"/>
        <v>#VALUE!</v>
      </c>
      <c r="M17" s="48"/>
    </row>
    <row r="18" spans="1:13" s="59" customFormat="1">
      <c r="A18" s="48"/>
      <c r="B18" s="60"/>
      <c r="C18" s="50" t="str">
        <f t="shared" si="1"/>
        <v/>
      </c>
      <c r="D18" s="51" t="str">
        <f t="shared" si="2"/>
        <v/>
      </c>
      <c r="E18" s="61"/>
      <c r="F18" s="61"/>
      <c r="G18" s="53">
        <f t="shared" si="3"/>
        <v>0</v>
      </c>
      <c r="H18" s="54" t="e">
        <f t="shared" si="4"/>
        <v>#N/A</v>
      </c>
      <c r="I18" s="55" t="e">
        <f t="shared" si="5"/>
        <v>#VALUE!</v>
      </c>
      <c r="J18" s="55" t="e">
        <f t="shared" si="6"/>
        <v>#VALUE!</v>
      </c>
      <c r="K18" s="55" t="e">
        <f t="shared" si="7"/>
        <v>#VALUE!</v>
      </c>
      <c r="L18" s="55" t="e">
        <f t="shared" si="8"/>
        <v>#VALUE!</v>
      </c>
      <c r="M18" s="48"/>
    </row>
    <row r="19" spans="1:13" s="59" customFormat="1">
      <c r="A19" s="48"/>
      <c r="B19" s="62"/>
      <c r="C19" s="63" t="str">
        <f t="shared" si="1"/>
        <v/>
      </c>
      <c r="D19" s="64" t="str">
        <f t="shared" si="2"/>
        <v/>
      </c>
      <c r="E19" s="65"/>
      <c r="F19" s="65"/>
      <c r="G19" s="66">
        <f t="shared" si="3"/>
        <v>0</v>
      </c>
      <c r="H19" s="54" t="e">
        <f t="shared" si="4"/>
        <v>#N/A</v>
      </c>
      <c r="I19" s="55" t="e">
        <f t="shared" si="5"/>
        <v>#VALUE!</v>
      </c>
      <c r="J19" s="55" t="e">
        <f t="shared" si="6"/>
        <v>#VALUE!</v>
      </c>
      <c r="K19" s="55" t="e">
        <f t="shared" si="7"/>
        <v>#VALUE!</v>
      </c>
      <c r="L19" s="55" t="e">
        <f t="shared" si="8"/>
        <v>#VALUE!</v>
      </c>
      <c r="M19" s="48"/>
    </row>
    <row r="20" spans="1:13" s="59" customFormat="1" ht="15.95" customHeight="1">
      <c r="A20" s="48"/>
      <c r="B20" s="67"/>
      <c r="C20" s="67"/>
      <c r="D20" s="68"/>
      <c r="E20" s="67"/>
      <c r="F20" s="67"/>
      <c r="G20" s="67"/>
      <c r="H20" s="54" t="e">
        <f t="shared" si="4"/>
        <v>#N/A</v>
      </c>
      <c r="I20" s="55" t="e">
        <f t="shared" si="5"/>
        <v>#DIV/0!</v>
      </c>
      <c r="J20" s="55">
        <f t="shared" si="6"/>
        <v>0</v>
      </c>
      <c r="K20" s="55">
        <f t="shared" si="7"/>
        <v>0</v>
      </c>
      <c r="L20" s="55" t="e">
        <f t="shared" si="8"/>
        <v>#DIV/0!</v>
      </c>
      <c r="M20" s="48"/>
    </row>
    <row r="21" spans="1:13" ht="36" customHeight="1">
      <c r="A21" s="4"/>
      <c r="B21" s="74" t="s">
        <v>37</v>
      </c>
      <c r="C21" s="75"/>
      <c r="D21" s="75"/>
      <c r="E21" s="75"/>
      <c r="F21" s="75"/>
      <c r="G21" s="69"/>
      <c r="H21" s="8" t="e">
        <f t="shared" si="4"/>
        <v>#N/A</v>
      </c>
      <c r="I21" s="70" t="e">
        <f t="shared" si="5"/>
        <v>#DIV/0!</v>
      </c>
      <c r="J21" s="70">
        <f t="shared" si="6"/>
        <v>0</v>
      </c>
      <c r="K21" s="70">
        <f t="shared" si="7"/>
        <v>0</v>
      </c>
      <c r="L21" s="70" t="e">
        <f t="shared" si="8"/>
        <v>#DIV/0!</v>
      </c>
      <c r="M21" s="4"/>
    </row>
    <row r="22" spans="1:13" s="59" customFormat="1" ht="15.95" customHeight="1">
      <c r="A22" s="48"/>
      <c r="B22" s="49" t="s">
        <v>38</v>
      </c>
      <c r="C22" s="50" t="e">
        <f t="shared" ref="C22:C28" si="9">IF(B22="","",VLOOKUP(B22,#REF!,3,0))</f>
        <v>#REF!</v>
      </c>
      <c r="D22" s="51" t="e">
        <f t="shared" ref="D22:D28" si="10">IF(B22="","",VLOOKUP(B22,#REF!,4,0))</f>
        <v>#REF!</v>
      </c>
      <c r="E22" s="52"/>
      <c r="F22" s="71" t="s">
        <v>28</v>
      </c>
      <c r="G22" s="53">
        <f t="shared" ref="G22:G28" si="11">IFERROR(_xlfn.IFS(F22=H$12,H22,F22=I$12,I22,F22=J$12,J22,F22=K$12,K22),0)</f>
        <v>0</v>
      </c>
      <c r="H22" s="54" t="e">
        <f t="shared" si="4"/>
        <v>#REF!</v>
      </c>
      <c r="I22" s="55" t="e">
        <f t="shared" si="5"/>
        <v>#REF!</v>
      </c>
      <c r="J22" s="55" t="e">
        <f t="shared" si="6"/>
        <v>#REF!</v>
      </c>
      <c r="K22" s="55" t="e">
        <f t="shared" si="7"/>
        <v>#REF!</v>
      </c>
      <c r="L22" s="55" t="e">
        <f t="shared" si="8"/>
        <v>#REF!</v>
      </c>
      <c r="M22" s="48"/>
    </row>
    <row r="23" spans="1:13" s="59" customFormat="1" ht="15.95" customHeight="1">
      <c r="A23" s="48"/>
      <c r="B23" s="60"/>
      <c r="C23" s="50" t="str">
        <f t="shared" si="9"/>
        <v/>
      </c>
      <c r="D23" s="51" t="str">
        <f t="shared" si="10"/>
        <v/>
      </c>
      <c r="E23" s="61"/>
      <c r="F23" s="71" t="s">
        <v>28</v>
      </c>
      <c r="G23" s="53">
        <f t="shared" si="11"/>
        <v>0</v>
      </c>
      <c r="H23" s="54" t="e">
        <f t="shared" si="4"/>
        <v>#VALUE!</v>
      </c>
      <c r="I23" s="55" t="e">
        <f t="shared" si="5"/>
        <v>#VALUE!</v>
      </c>
      <c r="J23" s="55" t="e">
        <f t="shared" si="6"/>
        <v>#VALUE!</v>
      </c>
      <c r="K23" s="55" t="e">
        <f t="shared" si="7"/>
        <v>#VALUE!</v>
      </c>
      <c r="L23" s="55" t="e">
        <f t="shared" si="8"/>
        <v>#VALUE!</v>
      </c>
      <c r="M23" s="48"/>
    </row>
    <row r="24" spans="1:13" s="59" customFormat="1" ht="15.95" customHeight="1">
      <c r="A24" s="48"/>
      <c r="B24" s="49"/>
      <c r="C24" s="50" t="str">
        <f t="shared" si="9"/>
        <v/>
      </c>
      <c r="D24" s="51" t="str">
        <f t="shared" si="10"/>
        <v/>
      </c>
      <c r="E24" s="52"/>
      <c r="F24" s="71" t="s">
        <v>28</v>
      </c>
      <c r="G24" s="53">
        <f t="shared" si="11"/>
        <v>0</v>
      </c>
      <c r="H24" s="54" t="e">
        <f t="shared" si="4"/>
        <v>#VALUE!</v>
      </c>
      <c r="I24" s="55" t="e">
        <f t="shared" si="5"/>
        <v>#VALUE!</v>
      </c>
      <c r="J24" s="55" t="e">
        <f t="shared" si="6"/>
        <v>#VALUE!</v>
      </c>
      <c r="K24" s="55" t="e">
        <f t="shared" si="7"/>
        <v>#VALUE!</v>
      </c>
      <c r="L24" s="55" t="e">
        <f t="shared" si="8"/>
        <v>#VALUE!</v>
      </c>
      <c r="M24" s="48"/>
    </row>
    <row r="25" spans="1:13" s="59" customFormat="1" ht="15.95" customHeight="1">
      <c r="A25" s="48"/>
      <c r="B25" s="60"/>
      <c r="C25" s="50" t="str">
        <f t="shared" si="9"/>
        <v/>
      </c>
      <c r="D25" s="51" t="str">
        <f t="shared" si="10"/>
        <v/>
      </c>
      <c r="E25" s="61"/>
      <c r="F25" s="71" t="s">
        <v>28</v>
      </c>
      <c r="G25" s="53">
        <f t="shared" si="11"/>
        <v>0</v>
      </c>
      <c r="H25" s="54" t="e">
        <f t="shared" si="4"/>
        <v>#VALUE!</v>
      </c>
      <c r="I25" s="55" t="e">
        <f t="shared" si="5"/>
        <v>#VALUE!</v>
      </c>
      <c r="J25" s="55" t="e">
        <f t="shared" si="6"/>
        <v>#VALUE!</v>
      </c>
      <c r="K25" s="55" t="e">
        <f t="shared" si="7"/>
        <v>#VALUE!</v>
      </c>
      <c r="L25" s="55" t="e">
        <f t="shared" si="8"/>
        <v>#VALUE!</v>
      </c>
      <c r="M25" s="48"/>
    </row>
    <row r="26" spans="1:13" s="59" customFormat="1" ht="15.95" customHeight="1">
      <c r="A26" s="48"/>
      <c r="B26" s="49"/>
      <c r="C26" s="50" t="str">
        <f t="shared" si="9"/>
        <v/>
      </c>
      <c r="D26" s="51" t="str">
        <f t="shared" si="10"/>
        <v/>
      </c>
      <c r="E26" s="52"/>
      <c r="F26" s="71" t="s">
        <v>28</v>
      </c>
      <c r="G26" s="53">
        <f t="shared" si="11"/>
        <v>0</v>
      </c>
      <c r="H26" s="54" t="e">
        <f t="shared" si="4"/>
        <v>#VALUE!</v>
      </c>
      <c r="I26" s="55" t="e">
        <f t="shared" si="5"/>
        <v>#VALUE!</v>
      </c>
      <c r="J26" s="55" t="e">
        <f t="shared" si="6"/>
        <v>#VALUE!</v>
      </c>
      <c r="K26" s="55" t="e">
        <f t="shared" si="7"/>
        <v>#VALUE!</v>
      </c>
      <c r="L26" s="55" t="e">
        <f t="shared" si="8"/>
        <v>#VALUE!</v>
      </c>
      <c r="M26" s="48"/>
    </row>
    <row r="27" spans="1:13" s="59" customFormat="1" ht="15.95" customHeight="1">
      <c r="A27" s="48"/>
      <c r="B27" s="60"/>
      <c r="C27" s="50" t="str">
        <f t="shared" si="9"/>
        <v/>
      </c>
      <c r="D27" s="51" t="str">
        <f t="shared" si="10"/>
        <v/>
      </c>
      <c r="E27" s="61"/>
      <c r="F27" s="71" t="s">
        <v>28</v>
      </c>
      <c r="G27" s="53">
        <f t="shared" si="11"/>
        <v>0</v>
      </c>
      <c r="H27" s="54" t="e">
        <f t="shared" si="4"/>
        <v>#VALUE!</v>
      </c>
      <c r="I27" s="55" t="e">
        <f t="shared" si="5"/>
        <v>#VALUE!</v>
      </c>
      <c r="J27" s="55" t="e">
        <f t="shared" si="6"/>
        <v>#VALUE!</v>
      </c>
      <c r="K27" s="55" t="e">
        <f t="shared" si="7"/>
        <v>#VALUE!</v>
      </c>
      <c r="L27" s="55" t="e">
        <f t="shared" si="8"/>
        <v>#VALUE!</v>
      </c>
      <c r="M27" s="48"/>
    </row>
    <row r="28" spans="1:13" s="59" customFormat="1" ht="15.95" customHeight="1">
      <c r="A28" s="48"/>
      <c r="B28" s="62"/>
      <c r="C28" s="63" t="str">
        <f t="shared" si="9"/>
        <v/>
      </c>
      <c r="D28" s="64" t="str">
        <f t="shared" si="10"/>
        <v/>
      </c>
      <c r="E28" s="65"/>
      <c r="F28" s="72" t="s">
        <v>28</v>
      </c>
      <c r="G28" s="66">
        <f t="shared" si="11"/>
        <v>0</v>
      </c>
      <c r="H28" s="54" t="e">
        <f t="shared" si="4"/>
        <v>#VALUE!</v>
      </c>
      <c r="I28" s="55" t="e">
        <f t="shared" si="5"/>
        <v>#VALUE!</v>
      </c>
      <c r="J28" s="55" t="e">
        <f t="shared" si="6"/>
        <v>#VALUE!</v>
      </c>
      <c r="K28" s="55" t="e">
        <f t="shared" si="7"/>
        <v>#VALUE!</v>
      </c>
      <c r="L28" s="55" t="e">
        <f t="shared" si="8"/>
        <v>#VALUE!</v>
      </c>
      <c r="M28" s="48"/>
    </row>
    <row r="29" spans="1:13" ht="15" customHeight="1">
      <c r="A29" s="4"/>
      <c r="B29" s="14"/>
      <c r="C29" s="14"/>
      <c r="D29" s="14"/>
      <c r="E29" s="14"/>
      <c r="F29" s="14"/>
      <c r="G29" s="14"/>
      <c r="H29" s="2"/>
      <c r="I29" s="2"/>
      <c r="J29" s="2"/>
      <c r="K29" s="2"/>
      <c r="M29" s="4"/>
    </row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</sheetData>
  <mergeCells count="11">
    <mergeCell ref="N3:P3"/>
    <mergeCell ref="B2:G2"/>
    <mergeCell ref="B21:F21"/>
    <mergeCell ref="C4:G4"/>
    <mergeCell ref="C3:G3"/>
    <mergeCell ref="D10:E10"/>
    <mergeCell ref="D9:E9"/>
    <mergeCell ref="E7:F7"/>
    <mergeCell ref="E12:F12"/>
    <mergeCell ref="E6:F6"/>
    <mergeCell ref="G9:G10"/>
  </mergeCells>
  <conditionalFormatting sqref="G13:G19 G22:G28">
    <cfRule type="dataBar" priority="1">
      <dataBar>
        <cfvo type="min"/>
        <cfvo type="max"/>
        <color rgb="FFFFFF66"/>
      </dataBar>
      <extLst>
        <ext xmlns:x14="http://schemas.microsoft.com/office/spreadsheetml/2009/9/main" uri="{B025F937-C7B1-47D3-B67F-A62EFF666E3E}">
          <x14:id>{AF8999B0-2EC6-F5A2-D12F-8A002E828AC6}</x14:id>
        </ext>
      </extLst>
    </cfRule>
  </conditionalFormatting>
  <conditionalFormatting sqref="G7">
    <cfRule type="colorScale" priority="2">
      <colorScale>
        <cfvo type="num" val="0.5"/>
        <cfvo type="num" val="1"/>
        <cfvo type="num" val="2"/>
        <color rgb="FFB05A5A"/>
        <color rgb="FFCAD492"/>
        <color rgb="FF47D45A"/>
      </colorScale>
    </cfRule>
  </conditionalFormatting>
  <dataValidations count="3">
    <dataValidation type="list" allowBlank="1" showInputMessage="1" showErrorMessage="1" errorTitle="The value you entered is not valid." error="Definir qual forma de medição para prosseguir (Unidade, Xícara, Colher de Chá ou Colher de Sopa)" prompt="Definir qual forma de medição para prosseguir" sqref="F13:F19" xr:uid="{00000000-0002-0000-0000-000000000000}">
      <formula1>H$12:$L$12</formula1>
    </dataValidation>
    <dataValidation type="list" allowBlank="1" showErrorMessage="1" errorTitle="The value you entered is not valid." error="The value entered violates data validation rules set in cell" sqref="F22:F28" xr:uid="{00000000-0002-0000-0000-000001000000}">
      <formula1>H$12</formula1>
    </dataValidation>
    <dataValidation type="list" allowBlank="1" showErrorMessage="1" errorTitle="The value you entered is not valid." error="The value entered violates data validation rules set in cell" sqref="B13:B19 B22:B28" xr:uid="{00000000-0002-0000-0000-000002000000}">
      <formula1>Materiais</formula1>
    </dataValidation>
  </dataValidations>
  <pageMargins left="0" right="0" top="0" bottom="0" header="0" footer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8999B0-2EC6-F5A2-D12F-8A002E828AC6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G13:G19 G22:G28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Káic Lorran Vicente Prudencio</cp:lastModifiedBy>
  <cp:revision/>
  <dcterms:created xsi:type="dcterms:W3CDTF">2025-07-09T18:35:23Z</dcterms:created>
  <dcterms:modified xsi:type="dcterms:W3CDTF">2025-07-09T18:47:37Z</dcterms:modified>
  <cp:category/>
  <cp:contentStatus/>
</cp:coreProperties>
</file>