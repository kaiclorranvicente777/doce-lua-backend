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f3341cea8497d0/Documentos/"/>
    </mc:Choice>
  </mc:AlternateContent>
  <xr:revisionPtr revIDLastSave="0" documentId="8_{44FBE916-7892-4CB4-9016-59CD06659179}" xr6:coauthVersionLast="47" xr6:coauthVersionMax="47" xr10:uidLastSave="{00000000-0000-0000-0000-000000000000}"/>
  <bookViews>
    <workbookView xWindow="-120" yWindow="-120" windowWidth="20730" windowHeight="11160" activeTab="1" xr2:uid="{B0EBA008-920B-411D-A491-6837130D197C}"/>
  </bookViews>
  <sheets>
    <sheet name="Baixa de Itens Retirados" sheetId="2" r:id="rId1"/>
    <sheet name="Estoque" sheetId="1" r:id="rId2"/>
    <sheet name="Sistema de Vendas" sheetId="3" r:id="rId3"/>
    <sheet name="Historico de Vendas" sheetId="4" r:id="rId4"/>
  </sheets>
  <externalReferences>
    <externalReference r:id="rId5"/>
    <externalReference r:id="rId6"/>
  </externalReferences>
  <definedNames>
    <definedName name="CodBar">[2]!Tabela3[[#All],[Cód Sistema]]</definedName>
    <definedName name="Solicitantes3">[1]Planilha1!$A$1:$A$19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 a="1"/>
  <c r="B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<sst xmlns="http://schemas.openxmlformats.org/spreadsheetml/2006/main" count="27" uniqueCount="26">
  <si>
    <t>Nescau</t>
  </si>
  <si>
    <t>Achocolatado em po</t>
  </si>
  <si>
    <t>Descrição Geral</t>
  </si>
  <si>
    <t>Marca</t>
  </si>
  <si>
    <t>Tamanho/Medida</t>
  </si>
  <si>
    <t>EAN-13</t>
  </si>
  <si>
    <t>Embalagem</t>
  </si>
  <si>
    <t>Quantidade atual</t>
  </si>
  <si>
    <t>Lata</t>
  </si>
  <si>
    <t>Estoque Mercearia Prudencio</t>
  </si>
  <si>
    <t>B</t>
  </si>
  <si>
    <t>Mercearia Prudencio</t>
  </si>
  <si>
    <r>
      <t xml:space="preserve">Retirada de itens do Almoxarifado via </t>
    </r>
    <r>
      <rPr>
        <b/>
        <sz val="36"/>
        <color rgb="FFFFFF00"/>
        <rFont val="Agency FB"/>
        <family val="2"/>
      </rPr>
      <t>código de Barras</t>
    </r>
  </si>
  <si>
    <t>Inserir cód de barras ao lado:</t>
  </si>
  <si>
    <t>Insira aqui</t>
  </si>
  <si>
    <t>Solicitante:</t>
  </si>
  <si>
    <t>Categoria</t>
  </si>
  <si>
    <t>Descrição Detalhada</t>
  </si>
  <si>
    <t>Tamanho</t>
  </si>
  <si>
    <t>Qtd. Atual</t>
  </si>
  <si>
    <t>Data Atualização</t>
  </si>
  <si>
    <t>Medição</t>
  </si>
  <si>
    <t>Estoque Mínimo</t>
  </si>
  <si>
    <t>Localização</t>
  </si>
  <si>
    <t>Código Interno Etiqueta</t>
  </si>
  <si>
    <t>Quantidade Retirada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</si>
</sst>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"/>
  </numFmts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0"/>
      <name val="Agency FB"/>
      <family val="2"/>
    </font>
    <font>
      <b/>
      <sz val="36"/>
      <color rgb="FFFFFF00"/>
      <name val="Agency FB"/>
      <family val="2"/>
    </font>
    <font>
      <b/>
      <sz val="18"/>
      <color theme="1"/>
      <name val="Agency FB"/>
      <family val="2"/>
    </font>
    <font>
      <b/>
      <sz val="22"/>
      <color theme="1"/>
      <name val="Code 128"/>
    </font>
    <font>
      <b/>
      <sz val="22"/>
      <color theme="1"/>
      <name val="Arial Nova Cond"/>
      <family val="2"/>
    </font>
    <font>
      <b/>
      <sz val="24"/>
      <color theme="0"/>
      <name val="Agency FB"/>
      <family val="2"/>
    </font>
    <font>
      <b/>
      <sz val="12"/>
      <color theme="0"/>
      <name val="Agency FB"/>
      <family val="2"/>
    </font>
    <font>
      <b/>
      <sz val="18"/>
      <color theme="0"/>
      <name val="Agency FB"/>
      <family val="2"/>
    </font>
    <font>
      <b/>
      <sz val="16"/>
      <color theme="0"/>
      <name val="Agency FB"/>
      <family val="2"/>
    </font>
    <font>
      <b/>
      <sz val="16"/>
      <color theme="1"/>
      <name val="Arial Nova Cond"/>
      <family val="2"/>
    </font>
    <font>
      <sz val="16"/>
      <color theme="1"/>
      <name val="Arial Nova Cond"/>
      <family val="2"/>
    </font>
    <font>
      <b/>
      <sz val="16"/>
      <color theme="1"/>
      <name val="Arial Nova"/>
      <family val="2"/>
    </font>
    <font>
      <b/>
      <sz val="24"/>
      <color rgb="FFE1D19D"/>
      <name val="Agency FB"/>
      <family val="2"/>
    </font>
  </fonts>
  <fills count="11">
    <fill>
      <patternFill patternType="none"/>
    </fill>
    <fill>
      <patternFill patternType="gray125"/>
    </fill>
    <fill>
      <gradientFill degree="225">
        <stop position="0">
          <color theme="1"/>
        </stop>
        <stop position="1">
          <color theme="9" tint="-0.25098422193060094"/>
        </stop>
      </gradientFill>
    </fill>
    <fill>
      <gradientFill>
        <stop position="0">
          <color theme="0"/>
        </stop>
        <stop position="1">
          <color rgb="FFFFFF00"/>
        </stop>
      </gradient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gradientFill degree="225">
        <stop position="0">
          <color theme="1"/>
        </stop>
        <stop position="1">
          <color rgb="FF92D050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gradientFill degree="225">
        <stop position="0">
          <color theme="1"/>
        </stop>
        <stop position="1">
          <color rgb="FF17403A"/>
        </stop>
      </gradient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Dashed">
        <color indexed="64"/>
      </bottom>
      <diagonal/>
    </border>
    <border>
      <left/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Dashed">
        <color indexed="64"/>
      </top>
      <bottom/>
      <diagonal/>
    </border>
    <border>
      <left/>
      <right style="thin">
        <color indexed="64"/>
      </right>
      <top style="mediumDashed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thin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right" vertical="center"/>
    </xf>
    <xf numFmtId="14" fontId="4" fillId="3" borderId="5" xfId="0" applyNumberFormat="1" applyFont="1" applyFill="1" applyBorder="1" applyAlignment="1">
      <alignment horizontal="right" vertical="center"/>
    </xf>
    <xf numFmtId="0" fontId="5" fillId="4" borderId="6" xfId="0" applyFont="1" applyFill="1" applyBorder="1" applyAlignment="1" applyProtection="1">
      <alignment horizontal="left" vertical="center"/>
      <protection locked="0"/>
    </xf>
    <xf numFmtId="0" fontId="5" fillId="4" borderId="7" xfId="0" applyFont="1" applyFill="1" applyBorder="1" applyAlignment="1" applyProtection="1">
      <alignment horizontal="left" vertical="center"/>
      <protection locked="0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4" fontId="4" fillId="3" borderId="8" xfId="0" applyNumberFormat="1" applyFont="1" applyFill="1" applyBorder="1" applyAlignment="1">
      <alignment horizontal="right" vertical="center"/>
    </xf>
    <xf numFmtId="14" fontId="4" fillId="3" borderId="0" xfId="0" applyNumberFormat="1" applyFont="1" applyFill="1" applyAlignment="1">
      <alignment horizontal="right" vertical="center"/>
    </xf>
    <xf numFmtId="0" fontId="6" fillId="4" borderId="10" xfId="0" applyFont="1" applyFill="1" applyBorder="1" applyAlignment="1" applyProtection="1">
      <alignment vertical="center"/>
      <protection locked="0"/>
    </xf>
    <xf numFmtId="0" fontId="6" fillId="4" borderId="11" xfId="0" applyFont="1" applyFill="1" applyBorder="1" applyAlignment="1" applyProtection="1">
      <alignment vertical="center"/>
      <protection locked="0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 applyProtection="1">
      <alignment vertical="center"/>
      <protection locked="0"/>
    </xf>
    <xf numFmtId="0" fontId="6" fillId="4" borderId="16" xfId="0" applyFont="1" applyFill="1" applyBorder="1" applyAlignment="1" applyProtection="1">
      <alignment vertical="center"/>
      <protection locked="0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6" borderId="0" xfId="0" applyFill="1"/>
    <xf numFmtId="0" fontId="0" fillId="0" borderId="17" xfId="0" applyBorder="1"/>
    <xf numFmtId="0" fontId="8" fillId="2" borderId="2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9" fillId="7" borderId="17" xfId="0" applyFont="1" applyFill="1" applyBorder="1" applyAlignment="1">
      <alignment horizontal="center" vertical="center"/>
    </xf>
    <xf numFmtId="0" fontId="11" fillId="6" borderId="20" xfId="0" applyFont="1" applyFill="1" applyBorder="1"/>
    <xf numFmtId="0" fontId="12" fillId="6" borderId="20" xfId="0" applyFont="1" applyFill="1" applyBorder="1"/>
    <xf numFmtId="14" fontId="12" fillId="6" borderId="20" xfId="0" applyNumberFormat="1" applyFont="1" applyFill="1" applyBorder="1"/>
    <xf numFmtId="0" fontId="12" fillId="6" borderId="20" xfId="0" applyFont="1" applyFill="1" applyBorder="1" applyAlignment="1">
      <alignment horizontal="center" vertical="center"/>
    </xf>
    <xf numFmtId="0" fontId="0" fillId="6" borderId="20" xfId="0" applyFill="1" applyBorder="1"/>
    <xf numFmtId="0" fontId="13" fillId="8" borderId="21" xfId="0" applyFont="1" applyFill="1" applyBorder="1" applyProtection="1">
      <protection locked="0"/>
    </xf>
    <xf numFmtId="0" fontId="9" fillId="2" borderId="2" xfId="0" applyFont="1" applyFill="1" applyBorder="1" applyAlignment="1">
      <alignment horizontal="center" vertical="center"/>
    </xf>
    <xf numFmtId="0" fontId="0" fillId="9" borderId="0" xfId="0" applyFill="1"/>
    <xf numFmtId="0" fontId="14" fillId="10" borderId="2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gradientFill type="path" left="0.5" right="0.5" top="0.5" bottom="0.5">
          <stop position="0">
            <color rgb="FFFF0000"/>
          </stop>
          <stop position="1">
            <color rgb="FFC00000"/>
          </stop>
        </gradientFill>
      </fill>
      <border>
        <left style="thin">
          <color theme="0"/>
        </left>
        <right style="thin">
          <color theme="0"/>
        </right>
        <top/>
        <bottom style="thin">
          <color theme="0"/>
        </bottom>
        <vertical/>
        <horizontal/>
      </border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E1D19D"/>
      <color rgb="FF1740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22412</xdr:colOff>
      <xdr:row>0</xdr:row>
      <xdr:rowOff>0</xdr:rowOff>
    </xdr:from>
    <xdr:to>
      <xdr:col>13</xdr:col>
      <xdr:colOff>143639</xdr:colOff>
      <xdr:row>17</xdr:row>
      <xdr:rowOff>102721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9A2628D-7305-DF72-2D6E-52A97B8D9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0059" y="0"/>
          <a:ext cx="3751933" cy="3778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9526</xdr:rowOff>
    </xdr:from>
    <xdr:to>
      <xdr:col>11</xdr:col>
      <xdr:colOff>0</xdr:colOff>
      <xdr:row>5</xdr:row>
      <xdr:rowOff>9526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2FA67140-29F6-4172-9997-003B9F95E0DF}"/>
            </a:ext>
          </a:extLst>
        </xdr:cNvPr>
        <xdr:cNvSpPr/>
      </xdr:nvSpPr>
      <xdr:spPr>
        <a:xfrm>
          <a:off x="609600" y="1276351"/>
          <a:ext cx="11887200" cy="647700"/>
        </a:xfrm>
        <a:prstGeom prst="rect">
          <a:avLst/>
        </a:prstGeom>
        <a:solidFill>
          <a:srgbClr val="4472C4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n w="0" cap="rnd">
                <a:solidFill>
                  <a:schemeClr val="accent1">
                    <a:lumMod val="60000"/>
                    <a:lumOff val="40000"/>
                  </a:schemeClr>
                </a:solidFill>
              </a:ln>
              <a:latin typeface="Agency FB" panose="020B0503020202020204" pitchFamily="34" charset="0"/>
            </a:rPr>
            <a:t>Descreva a Quantidade Retirada na linha correta da descrição que convém com o material á ser retirado</a:t>
          </a:r>
        </a:p>
      </xdr:txBody>
    </xdr:sp>
    <xdr:clientData/>
  </xdr:twoCellAnchor>
  <xdr:twoCellAnchor editAs="oneCell">
    <xdr:from>
      <xdr:col>14</xdr:col>
      <xdr:colOff>1106019</xdr:colOff>
      <xdr:row>4</xdr:row>
      <xdr:rowOff>60513</xdr:rowOff>
    </xdr:from>
    <xdr:to>
      <xdr:col>15</xdr:col>
      <xdr:colOff>526834</xdr:colOff>
      <xdr:row>7</xdr:row>
      <xdr:rowOff>15689</xdr:rowOff>
    </xdr:to>
    <xdr:pic macro="[1]!confokbarras">
      <xdr:nvPicPr>
        <xdr:cNvPr id="3" name="Imagem 2">
          <a:extLst>
            <a:ext uri="{FF2B5EF4-FFF2-40B4-BE49-F238E27FC236}">
              <a16:creationId xmlns:a16="http://schemas.microsoft.com/office/drawing/2014/main" id="{EAECB3CE-A36E-4728-A1DD-69C279BDA6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178" t="28788"/>
        <a:stretch/>
      </xdr:blipFill>
      <xdr:spPr>
        <a:xfrm>
          <a:off x="16441269" y="1327338"/>
          <a:ext cx="525715" cy="526676"/>
        </a:xfrm>
        <a:prstGeom prst="rect">
          <a:avLst/>
        </a:prstGeom>
        <a:effectLst>
          <a:glow rad="63500">
            <a:schemeClr val="bg1">
              <a:alpha val="22000"/>
            </a:schemeClr>
          </a:glow>
          <a:outerShdw blurRad="63500" dist="50800" dir="5400000" sx="109000" sy="109000" algn="ctr" rotWithShape="0">
            <a:srgbClr val="000000">
              <a:alpha val="99000"/>
            </a:srgbClr>
          </a:outerShdw>
        </a:effectLst>
      </xdr:spPr>
    </xdr:pic>
    <xdr:clientData/>
  </xdr:twoCellAnchor>
  <xdr:oneCellAnchor>
    <xdr:from>
      <xdr:col>13</xdr:col>
      <xdr:colOff>19051</xdr:colOff>
      <xdr:row>4</xdr:row>
      <xdr:rowOff>9525</xdr:rowOff>
    </xdr:from>
    <xdr:ext cx="2781300" cy="626197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E2BF51B-F59C-46A7-8A16-4D6F07618B5C}"/>
            </a:ext>
          </a:extLst>
        </xdr:cNvPr>
        <xdr:cNvSpPr/>
      </xdr:nvSpPr>
      <xdr:spPr>
        <a:xfrm>
          <a:off x="13544551" y="1276350"/>
          <a:ext cx="2781300" cy="626197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square" lIns="396000" tIns="0" rIns="0" bIns="0" rtlCol="0" anchor="t" anchorCtr="0">
          <a:spAutoFit/>
        </a:bodyPr>
        <a:lstStyle/>
        <a:p>
          <a:pPr algn="l"/>
          <a:r>
            <a:rPr lang="pt-BR" sz="2000" b="1">
              <a:solidFill>
                <a:schemeClr val="tx1"/>
              </a:solidFill>
              <a:effectLst>
                <a:outerShdw blurRad="50800" dist="50800" dir="5400000" algn="ctr" rotWithShape="0">
                  <a:srgbClr val="000000">
                    <a:alpha val="77000"/>
                  </a:srgbClr>
                </a:outerShdw>
                <a:reflection stA="8000" endPos="65000" dist="50800" dir="5400000" sy="-100000" algn="bl" rotWithShape="0"/>
              </a:effectLst>
            </a:rPr>
            <a:t>Confirmar</a:t>
          </a:r>
          <a:r>
            <a:rPr lang="pt-BR" sz="2000" b="1" baseline="0">
              <a:solidFill>
                <a:schemeClr val="tx1"/>
              </a:solidFill>
              <a:effectLst>
                <a:outerShdw blurRad="50800" dist="50800" dir="5400000" algn="ctr" rotWithShape="0">
                  <a:srgbClr val="000000">
                    <a:alpha val="77000"/>
                  </a:srgbClr>
                </a:outerShdw>
                <a:reflection stA="8000" endPos="65000" dist="50800" dir="5400000" sy="-100000" algn="bl" rotWithShape="0"/>
              </a:effectLst>
            </a:rPr>
            <a:t> Quantidade Retirada</a:t>
          </a:r>
          <a:endParaRPr lang="pt-BR" sz="2000" b="1">
            <a:solidFill>
              <a:schemeClr val="tx1"/>
            </a:solidFill>
            <a:effectLst>
              <a:outerShdw blurRad="50800" dist="50800" dir="5400000" algn="ctr" rotWithShape="0">
                <a:srgbClr val="000000">
                  <a:alpha val="77000"/>
                </a:srgbClr>
              </a:outerShdw>
              <a:reflection stA="8000" endPos="65000" dist="50800" dir="5400000" sy="-100000" algn="bl" rotWithShape="0"/>
            </a:effectLst>
          </a:endParaRPr>
        </a:p>
      </xdr:txBody>
    </xdr:sp>
    <xdr:clientData/>
  </xdr:oneCellAnchor>
  <xdr:twoCellAnchor>
    <xdr:from>
      <xdr:col>14</xdr:col>
      <xdr:colOff>742389</xdr:colOff>
      <xdr:row>4</xdr:row>
      <xdr:rowOff>377639</xdr:rowOff>
    </xdr:from>
    <xdr:to>
      <xdr:col>14</xdr:col>
      <xdr:colOff>961464</xdr:colOff>
      <xdr:row>4</xdr:row>
      <xdr:rowOff>615764</xdr:rowOff>
    </xdr:to>
    <xdr:sp macro="" textlink="">
      <xdr:nvSpPr>
        <xdr:cNvPr id="5" name="Seta: para a Esquerda 4">
          <a:extLst>
            <a:ext uri="{FF2B5EF4-FFF2-40B4-BE49-F238E27FC236}">
              <a16:creationId xmlns:a16="http://schemas.microsoft.com/office/drawing/2014/main" id="{2CADE3E9-607C-4FA4-9CB1-81F783771BA5}"/>
            </a:ext>
          </a:extLst>
        </xdr:cNvPr>
        <xdr:cNvSpPr/>
      </xdr:nvSpPr>
      <xdr:spPr>
        <a:xfrm rot="10800000">
          <a:off x="16077639" y="1644464"/>
          <a:ext cx="219075" cy="238125"/>
        </a:xfrm>
        <a:prstGeom prst="leftArrow">
          <a:avLst/>
        </a:prstGeom>
        <a:solidFill>
          <a:schemeClr val="tx1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Itens%20retirados%20sistema%20K&#225;ic.xlsm" TargetMode="External"/><Relationship Id="rId1" Type="http://schemas.openxmlformats.org/officeDocument/2006/relationships/externalLinkPath" Target="file:///E:\Itens%20retirados%20sistema%20K&#225;ic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stoque%20Almoxarifado%202023%20-%20K&#225;ic%20Vicente%20INTERNO.xlsm" TargetMode="External"/><Relationship Id="rId1" Type="http://schemas.openxmlformats.org/officeDocument/2006/relationships/externalLinkPath" Target="file:///E:\Estoque%20Almoxarifado%202023%20-%20K&#225;ic%20Vicente%20INTERN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tirar Itens"/>
      <sheetName val="Retirar via código de barras"/>
      <sheetName val="Itens Retirados"/>
      <sheetName val="Planilha1"/>
    </sheetNames>
    <definedNames>
      <definedName name="confokbarras"/>
    </definedNames>
    <sheetDataSet>
      <sheetData sheetId="0"/>
      <sheetData sheetId="1"/>
      <sheetData sheetId="2"/>
      <sheetData sheetId="3">
        <row r="1">
          <cell r="A1" t="str">
            <v>Káic</v>
          </cell>
        </row>
        <row r="2">
          <cell r="A2" t="str">
            <v>Elymário</v>
          </cell>
        </row>
        <row r="3">
          <cell r="A3" t="str">
            <v>Júlio</v>
          </cell>
        </row>
        <row r="4">
          <cell r="A4" t="str">
            <v>Maurino</v>
          </cell>
        </row>
        <row r="5">
          <cell r="A5" t="str">
            <v>Evandro</v>
          </cell>
        </row>
        <row r="6">
          <cell r="A6" t="str">
            <v>Iago</v>
          </cell>
        </row>
        <row r="7">
          <cell r="A7" t="str">
            <v>Michel</v>
          </cell>
        </row>
        <row r="8">
          <cell r="A8" t="str">
            <v>Felipe</v>
          </cell>
        </row>
        <row r="9">
          <cell r="A9" t="str">
            <v>Luiz</v>
          </cell>
        </row>
        <row r="10">
          <cell r="A10" t="str">
            <v>Josivan</v>
          </cell>
        </row>
        <row r="11">
          <cell r="A11" t="str">
            <v>Ronaldo</v>
          </cell>
        </row>
        <row r="12">
          <cell r="A12" t="str">
            <v>Patrick</v>
          </cell>
        </row>
        <row r="13">
          <cell r="A13" t="str">
            <v>Josafá</v>
          </cell>
        </row>
        <row r="14">
          <cell r="A14" t="str">
            <v>João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didos Pendentes"/>
      <sheetName val="Impressão de código de Barras"/>
      <sheetName val="Estoque Almoxarifado 2023"/>
      <sheetName val="Faca e Cavidade de Corte Design"/>
      <sheetName val="Suporte Rolamentos Design"/>
      <sheetName val="Aviso"/>
      <sheetName val="Baixa de itens retirados"/>
      <sheetName val="Painel Pré Solicitações"/>
      <sheetName val="Placa Aviso detalhado Item"/>
      <sheetName val="Aviso Contagem sucedida"/>
      <sheetName val="Planilh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7FD0-F937-474A-8A7B-4268FBE318DE}">
  <dimension ref="A1"/>
  <sheetViews>
    <sheetView workbookViewId="0"/>
  </sheetViews>
  <sheetFormatPr defaultRowHeight="15"/>
  <sheetData>
    <row r="1" spans="1:1">
      <c r="A1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32D2-6B5F-431F-BD53-1F18DA2779DC}">
  <dimension ref="A1:L3"/>
  <sheetViews>
    <sheetView tabSelected="1" zoomScaleNormal="100" workbookViewId="0">
      <selection activeCell="E5" sqref="E5"/>
    </sheetView>
  </sheetViews>
  <sheetFormatPr defaultRowHeight="15"/>
  <cols>
    <col min="1" max="1" width="14.140625" style="1" bestFit="1" customWidth="1"/>
    <col min="2" max="2" width="19.42578125" bestFit="1" customWidth="1"/>
    <col min="3" max="3" width="8.140625" bestFit="1" customWidth="1"/>
    <col min="4" max="4" width="20.42578125" bestFit="1" customWidth="1"/>
    <col min="5" max="5" width="13.5703125" bestFit="1" customWidth="1"/>
    <col min="6" max="6" width="19.28515625" bestFit="1" customWidth="1"/>
  </cols>
  <sheetData>
    <row r="1" spans="1:12" ht="39" customHeight="1">
      <c r="A1" s="47" t="s">
        <v>9</v>
      </c>
      <c r="B1" s="47"/>
      <c r="C1" s="47"/>
      <c r="D1" s="47"/>
      <c r="E1" s="47"/>
      <c r="F1" s="47"/>
      <c r="L1" s="46"/>
    </row>
    <row r="2" spans="1:12" ht="25.5">
      <c r="A2" s="45" t="s">
        <v>5</v>
      </c>
      <c r="B2" s="45" t="s">
        <v>2</v>
      </c>
      <c r="C2" s="45" t="s">
        <v>3</v>
      </c>
      <c r="D2" s="45" t="s">
        <v>4</v>
      </c>
      <c r="E2" s="45" t="s">
        <v>6</v>
      </c>
      <c r="F2" s="45" t="s">
        <v>7</v>
      </c>
    </row>
    <row r="3" spans="1:12">
      <c r="A3" s="1">
        <v>7891000379585</v>
      </c>
      <c r="B3" t="s">
        <v>1</v>
      </c>
      <c r="C3" t="s">
        <v>0</v>
      </c>
      <c r="D3">
        <v>200</v>
      </c>
      <c r="E3" t="s">
        <v>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854BC-325A-4409-9D90-293026D6AA26}">
  <dimension ref="B1:O9"/>
  <sheetViews>
    <sheetView workbookViewId="0">
      <selection activeCell="D7" sqref="D7:D8"/>
    </sheetView>
  </sheetViews>
  <sheetFormatPr defaultRowHeight="15"/>
  <sheetData>
    <row r="1" spans="2:15">
      <c r="B1" t="s">
        <v>11</v>
      </c>
    </row>
    <row r="2" spans="2:15" ht="28.5" thickBot="1">
      <c r="B2" s="2" t="s">
        <v>12</v>
      </c>
      <c r="C2" s="3"/>
      <c r="D2" s="3"/>
      <c r="E2" s="3"/>
      <c r="F2" s="4"/>
      <c r="G2" s="5" t="s">
        <v>13</v>
      </c>
      <c r="H2" s="6"/>
      <c r="I2" s="6"/>
      <c r="J2" s="6"/>
      <c r="K2" s="6"/>
      <c r="L2" s="7" t="s">
        <v>14</v>
      </c>
      <c r="M2" s="7"/>
      <c r="N2" s="7"/>
      <c r="O2" s="8"/>
    </row>
    <row r="3" spans="2:15">
      <c r="B3" s="9"/>
      <c r="C3" s="10"/>
      <c r="D3" s="10"/>
      <c r="E3" s="10"/>
      <c r="F3" s="11"/>
      <c r="G3" s="12" t="s">
        <v>15</v>
      </c>
      <c r="H3" s="13"/>
      <c r="I3" s="13"/>
      <c r="J3" s="13"/>
      <c r="K3" s="13"/>
      <c r="L3" s="14"/>
      <c r="M3" s="14"/>
      <c r="N3" s="14"/>
      <c r="O3" s="15"/>
    </row>
    <row r="4" spans="2:15" ht="15.75" thickBot="1">
      <c r="B4" s="16"/>
      <c r="C4" s="17"/>
      <c r="D4" s="17"/>
      <c r="E4" s="17"/>
      <c r="F4" s="18"/>
      <c r="G4" s="5"/>
      <c r="H4" s="6"/>
      <c r="I4" s="6"/>
      <c r="J4" s="6"/>
      <c r="K4" s="6"/>
      <c r="L4" s="19"/>
      <c r="M4" s="19"/>
      <c r="N4" s="19"/>
      <c r="O4" s="20"/>
    </row>
    <row r="5" spans="2:15" ht="46.5">
      <c r="B5" s="21"/>
      <c r="C5" s="22"/>
      <c r="D5" s="22"/>
      <c r="E5" s="22"/>
      <c r="F5" s="22"/>
      <c r="G5" s="22"/>
      <c r="H5" s="22"/>
      <c r="I5" s="22"/>
      <c r="J5" s="22"/>
      <c r="K5" s="22"/>
      <c r="L5" s="23"/>
      <c r="M5" s="24"/>
      <c r="N5" s="24"/>
      <c r="O5" s="24"/>
    </row>
    <row r="6" spans="2:15">
      <c r="H6" s="25"/>
      <c r="J6" s="26"/>
      <c r="M6" s="27"/>
      <c r="N6" s="27"/>
      <c r="O6" s="28"/>
    </row>
    <row r="7" spans="2:15" ht="25.5">
      <c r="B7" s="29" t="s">
        <v>16</v>
      </c>
      <c r="C7" s="30"/>
      <c r="D7" s="31" t="s">
        <v>3</v>
      </c>
      <c r="E7" s="31" t="s">
        <v>17</v>
      </c>
      <c r="F7" s="31" t="s">
        <v>18</v>
      </c>
      <c r="G7" s="32" t="s">
        <v>19</v>
      </c>
      <c r="H7" s="31" t="s">
        <v>20</v>
      </c>
      <c r="I7" s="31"/>
      <c r="J7" s="31" t="s">
        <v>21</v>
      </c>
      <c r="K7" s="32" t="s">
        <v>22</v>
      </c>
      <c r="L7" s="31" t="s">
        <v>23</v>
      </c>
      <c r="M7" s="30"/>
      <c r="N7" s="31" t="s">
        <v>24</v>
      </c>
      <c r="O7" s="33" t="s">
        <v>25</v>
      </c>
    </row>
    <row r="8" spans="2:15" ht="25.5">
      <c r="B8" s="34"/>
      <c r="C8" s="35"/>
      <c r="D8" s="36"/>
      <c r="E8" s="36"/>
      <c r="F8" s="36"/>
      <c r="G8" s="37"/>
      <c r="H8" s="36"/>
      <c r="I8" s="36"/>
      <c r="J8" s="36"/>
      <c r="K8" s="37"/>
      <c r="L8" s="36"/>
      <c r="M8" s="35"/>
      <c r="N8" s="36"/>
      <c r="O8" s="38"/>
    </row>
    <row r="9" spans="2:15" ht="20.25">
      <c r="B9" s="39" t="str" cm="1">
        <f t="array" ref="B9:N9">_xlfn._xlws.FILTER([2]!Tabela3[[#All],[Categoria]:[Cód Sistema]],[2]!Tabela3[[#All],[Cód Sistema]]=L2,"Não Encontrado! corrigir escrita, ou descrever o item na folha e avisar o Káic")</f>
        <v xml:space="preserve"> </v>
      </c>
      <c r="C9" s="40">
        <v>0</v>
      </c>
      <c r="D9" s="40" t="str">
        <v xml:space="preserve"> </v>
      </c>
      <c r="E9" s="40" t="str">
        <v>Use o leitor NA CAIXA EM AMARELO para bipar descrição do item</v>
      </c>
      <c r="F9" s="40" t="str">
        <v xml:space="preserve">e em seguida seu nome </v>
      </c>
      <c r="G9" s="40" t="str">
        <v xml:space="preserve"> </v>
      </c>
      <c r="H9" s="41">
        <v>45183.578530092593</v>
      </c>
      <c r="I9" s="40" t="str">
        <v xml:space="preserve"> </v>
      </c>
      <c r="J9" s="42" t="str">
        <v xml:space="preserve"> </v>
      </c>
      <c r="K9" s="40" t="str">
        <v xml:space="preserve"> </v>
      </c>
      <c r="L9" s="40" t="str">
        <v xml:space="preserve"> </v>
      </c>
      <c r="M9" s="43">
        <v>0</v>
      </c>
      <c r="N9" s="43" t="str">
        <v>Insira Aqui</v>
      </c>
      <c r="O9" s="44"/>
    </row>
  </sheetData>
  <mergeCells count="18">
    <mergeCell ref="I7:I8"/>
    <mergeCell ref="J7:J8"/>
    <mergeCell ref="K7:K8"/>
    <mergeCell ref="L7:L8"/>
    <mergeCell ref="N7:N8"/>
    <mergeCell ref="O7:O8"/>
    <mergeCell ref="B7:B8"/>
    <mergeCell ref="D7:D8"/>
    <mergeCell ref="E7:E8"/>
    <mergeCell ref="F7:F8"/>
    <mergeCell ref="G7:G8"/>
    <mergeCell ref="H7:H8"/>
    <mergeCell ref="B2:F4"/>
    <mergeCell ref="G2:K2"/>
    <mergeCell ref="L2:O2"/>
    <mergeCell ref="G3:K4"/>
    <mergeCell ref="L3:O4"/>
    <mergeCell ref="B5:K5"/>
  </mergeCells>
  <conditionalFormatting sqref="B9:O9">
    <cfRule type="expression" dxfId="1" priority="2">
      <formula>ROW()=CELL("lin")</formula>
    </cfRule>
  </conditionalFormatting>
  <conditionalFormatting sqref="L3:O4">
    <cfRule type="containsBlanks" dxfId="0" priority="1">
      <formula>LEN(TRIM(L3))=0</formula>
    </cfRule>
  </conditionalFormatting>
  <dataValidations count="3">
    <dataValidation allowBlank="1" showInputMessage="1" showErrorMessage="1" prompt="Para confirmar retirada corretamente, prossiga com um item por vez" sqref="O9" xr:uid="{2DB0F219-2323-4463-9EB1-05F5173907FB}"/>
    <dataValidation type="list" allowBlank="1" showInputMessage="1" showErrorMessage="1" prompt="Use o leitor de bip ou coloque os numeros iniciais do código de barras aqui! _x000a__x000a_Caso não tenha nenhum dos dois, vá para baixa manual apertando a barra azul acima!" sqref="L2:O2" xr:uid="{3713EACB-D2C7-4C77-B150-47E26EB18AB8}">
      <formula1>CodBar</formula1>
    </dataValidation>
    <dataValidation type="list" allowBlank="1" showInputMessage="1" showErrorMessage="1" promptTitle="Descrever Nome Solicitante" prompt="Definir nesse campo acima seu nome para que a barra fique amarela" sqref="L3:O4" xr:uid="{E0AAC03C-D7E8-47D2-B2CF-B099A98BF8FB}">
      <formula1>Solicitantes3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60E4-89A0-4C1F-922B-5F66EE6789EB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Baixa de Itens Retirados</vt:lpstr>
      <vt:lpstr>Estoque</vt:lpstr>
      <vt:lpstr>Sistema de Vendas</vt:lpstr>
      <vt:lpstr>Historico de 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Káic Vicente</dc:creator>
  <cp:lastModifiedBy>Káic Vicente</cp:lastModifiedBy>
  <dcterms:created xsi:type="dcterms:W3CDTF">2024-04-03T21:35:37Z</dcterms:created>
  <dcterms:modified xsi:type="dcterms:W3CDTF">2024-04-04T03:16:41Z</dcterms:modified>
</cp:coreProperties>
</file>