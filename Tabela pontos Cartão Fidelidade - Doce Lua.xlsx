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showInkAnnotation="0" autoCompressPictures="0" defaultThemeVersion="166925"/>
  <xr:revisionPtr revIDLastSave="3" documentId="11_F9E95E46BD4B18A83DDD7C60571AE88DDB29EEF3" xr6:coauthVersionLast="47" xr6:coauthVersionMax="47" xr10:uidLastSave="{6979B5C0-0397-48E7-A9E4-0C215680CA2F}"/>
  <bookViews>
    <workbookView xWindow="0" yWindow="0" windowWidth="16384" windowHeight="8192" xr2:uid="{00000000-000D-0000-FFFF-FFFF00000000}"/>
  </bookViews>
  <sheets>
    <sheet name="Cartão Fidelidad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G20" i="1"/>
  <c r="F20" i="1"/>
  <c r="G19" i="1"/>
  <c r="F19" i="1"/>
  <c r="G18" i="1"/>
  <c r="F18" i="1"/>
  <c r="G17" i="1"/>
  <c r="G22" i="1" s="1"/>
  <c r="B24" i="1" s="1"/>
  <c r="F17" i="1"/>
  <c r="G28" i="1" s="1"/>
</calcChain>
</file>

<file path=xl/sharedStrings.xml><?xml version="1.0" encoding="utf-8"?>
<sst xmlns="http://schemas.openxmlformats.org/spreadsheetml/2006/main" count="33" uniqueCount="28">
  <si>
    <t>Tabela pontos Cartão Fidelidade - Doce Lua</t>
  </si>
  <si>
    <t>Etiqueta</t>
  </si>
  <si>
    <t>Pontuação</t>
  </si>
  <si>
    <t>Valor pedido</t>
  </si>
  <si>
    <t>Lua Simples</t>
  </si>
  <si>
    <t>R$15 á R$29</t>
  </si>
  <si>
    <t>Lua Prata</t>
  </si>
  <si>
    <t>R$30 á R$49</t>
  </si>
  <si>
    <t>Lua Dourada</t>
  </si>
  <si>
    <t>R$50 á R$99</t>
  </si>
  <si>
    <t>Lua Furta-cor</t>
  </si>
  <si>
    <t>R$&gt;100</t>
  </si>
  <si>
    <t>Recompensas</t>
  </si>
  <si>
    <t>Até 70 pontos</t>
  </si>
  <si>
    <t>Um bolo caseirinho com cobertura ou um Pavê, ou R$20 de desconto</t>
  </si>
  <si>
    <t>Até 120 pontos</t>
  </si>
  <si>
    <t>Um bolo grande e recheado gratis ou R$35 de desconto</t>
  </si>
  <si>
    <t>Até 175 pontos</t>
  </si>
  <si>
    <t>1kg de bolo confeitado gratis ou R$60 de desconto</t>
  </si>
  <si>
    <t>Maior que 180 pontos</t>
  </si>
  <si>
    <t>2kg bolo confeitado gratis ou R$100 de desconto</t>
  </si>
  <si>
    <t>Resultado cartão completo</t>
  </si>
  <si>
    <t>Quantidade etiquetas</t>
  </si>
  <si>
    <t>Valor mínimo pedido</t>
  </si>
  <si>
    <t>Valor total mínimo pedidos</t>
  </si>
  <si>
    <t>Pontuação total</t>
  </si>
  <si>
    <t>Recompensa:</t>
  </si>
  <si>
    <t>Valor mínimo investido pelo cliente conforme informação do cartão completo acima: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</si>
</sst>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0][$R$]#;\-[$R$]#"/>
  </numFmts>
  <fonts count="9">
    <font>
      <sz val="10"/>
      <color rgb="FF000000"/>
      <name val="Roboto"/>
    </font>
    <font>
      <sz val="10"/>
      <name val="Roboto"/>
    </font>
    <font>
      <b/>
      <sz val="13"/>
      <name val="Roboto"/>
    </font>
    <font>
      <b/>
      <sz val="11"/>
      <color rgb="FFFFFFFF"/>
      <name val="Roboto"/>
    </font>
    <font>
      <b/>
      <sz val="10"/>
      <name val="Roboto"/>
    </font>
    <font>
      <b/>
      <sz val="12"/>
      <name val="Roboto"/>
    </font>
    <font>
      <sz val="8"/>
      <name val="Arial"/>
    </font>
    <font>
      <sz val="9"/>
      <name val="Roboto"/>
    </font>
    <font>
      <b/>
      <sz val="9"/>
      <color rgb="FFFFFFFF"/>
      <name val="Roboto"/>
    </font>
  </fonts>
  <fills count="9">
    <fill>
      <patternFill patternType="none"/>
    </fill>
    <fill>
      <patternFill patternType="gray125"/>
    </fill>
    <fill>
      <patternFill patternType="solid">
        <fgColor rgb="FF4F295E"/>
        <bgColor rgb="FF4F295E"/>
      </patternFill>
    </fill>
    <fill>
      <patternFill patternType="solid">
        <fgColor rgb="FFF8B5C8"/>
        <bgColor rgb="FFF8B5C8"/>
      </patternFill>
    </fill>
    <fill>
      <patternFill patternType="solid">
        <fgColor rgb="FF8D0D31"/>
        <bgColor rgb="FF8D0D31"/>
      </patternFill>
    </fill>
    <fill>
      <patternFill patternType="solid">
        <fgColor rgb="FFF9E79F"/>
        <bgColor rgb="FFF9E79F"/>
      </patternFill>
    </fill>
    <fill>
      <patternFill patternType="solid">
        <fgColor rgb="FFAED6F1"/>
        <bgColor rgb="FFAED6F1"/>
      </patternFill>
    </fill>
    <fill>
      <patternFill patternType="solid">
        <fgColor rgb="FF144D73"/>
        <bgColor rgb="FF144D73"/>
      </patternFill>
    </fill>
    <fill>
      <patternFill patternType="solid">
        <fgColor rgb="FFD5F5E3"/>
        <bgColor rgb="FFD5F5E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>
      <alignment vertical="top"/>
    </xf>
  </cellStyleXfs>
  <cellXfs count="52">
    <xf numFmtId="0" fontId="0" fillId="0" borderId="0" xfId="0">
      <alignment vertical="top"/>
    </xf>
    <xf numFmtId="164" fontId="1" fillId="0" borderId="0" xfId="0" applyNumberFormat="1" applyFont="1">
      <alignment vertical="top"/>
    </xf>
    <xf numFmtId="0" fontId="1" fillId="2" borderId="0" xfId="0" applyFont="1" applyFill="1">
      <alignment vertical="top"/>
    </xf>
    <xf numFmtId="164" fontId="1" fillId="2" borderId="0" xfId="0" applyNumberFormat="1" applyFont="1" applyFill="1">
      <alignment vertical="top"/>
    </xf>
    <xf numFmtId="0" fontId="3" fillId="4" borderId="4" xfId="0" applyFont="1" applyFill="1" applyBorder="1">
      <alignment vertical="top"/>
    </xf>
    <xf numFmtId="0" fontId="3" fillId="4" borderId="0" xfId="0" applyFont="1" applyFill="1">
      <alignment vertical="top"/>
    </xf>
    <xf numFmtId="0" fontId="3" fillId="4" borderId="0" xfId="0" applyFont="1" applyFill="1" applyAlignment="1">
      <alignment horizontal="center" vertical="top"/>
    </xf>
    <xf numFmtId="0" fontId="4" fillId="0" borderId="4" xfId="0" applyFont="1" applyBorder="1">
      <alignment vertical="top"/>
    </xf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4" fillId="0" borderId="6" xfId="0" applyFont="1" applyBorder="1">
      <alignment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>
      <alignment vertical="top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7" borderId="4" xfId="0" applyFont="1" applyFill="1" applyBorder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8" fillId="7" borderId="0" xfId="0" applyFont="1" applyFill="1" applyAlignment="1">
      <alignment horizontal="center" vertical="top" wrapText="1"/>
    </xf>
    <xf numFmtId="164" fontId="8" fillId="7" borderId="0" xfId="0" applyNumberFormat="1" applyFont="1" applyFill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" fillId="8" borderId="9" xfId="0" applyFont="1" applyFill="1" applyBorder="1" applyAlignment="1">
      <alignment horizontal="center" vertical="top"/>
    </xf>
    <xf numFmtId="0" fontId="1" fillId="0" borderId="0" xfId="0" applyFont="1">
      <alignment vertical="top"/>
    </xf>
    <xf numFmtId="164" fontId="1" fillId="0" borderId="0" xfId="0" applyNumberFormat="1" applyFont="1" applyAlignment="1">
      <alignment horizontal="center" vertical="top"/>
    </xf>
    <xf numFmtId="0" fontId="1" fillId="0" borderId="4" xfId="0" applyFont="1" applyBorder="1">
      <alignment vertical="top"/>
    </xf>
    <xf numFmtId="0" fontId="1" fillId="0" borderId="5" xfId="0" applyFont="1" applyBorder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6" fillId="0" borderId="0" xfId="0" applyFont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64" fontId="1" fillId="0" borderId="0" xfId="0" applyNumberFormat="1" applyFont="1" applyAlignment="1">
      <alignment horizontal="left" vertical="center"/>
    </xf>
    <xf numFmtId="0" fontId="1" fillId="3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1" fillId="6" borderId="2" xfId="0" applyFont="1" applyFill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164" fontId="1" fillId="0" borderId="7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164" fontId="7" fillId="0" borderId="0" xfId="0" applyNumberFormat="1" applyFont="1" applyAlignment="1">
      <alignment horizontal="righ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DF00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F00FC"/>
  </sheetPr>
  <dimension ref="A1:H29"/>
  <sheetViews>
    <sheetView tabSelected="1" workbookViewId="0"/>
  </sheetViews>
  <sheetFormatPr defaultRowHeight="14.1" customHeight="1"/>
  <cols>
    <col min="1" max="1" width="0.5703125"/>
    <col min="2" max="2" width="17.140625"/>
    <col min="3" max="3" width="0" hidden="1"/>
    <col min="4" max="4" width="15.28515625"/>
    <col min="5" max="5" width="0" hidden="1"/>
    <col min="6" max="6" width="0" style="1" hidden="1"/>
    <col min="7" max="7" width="17.7109375"/>
    <col min="8" max="8" width="1.42578125"/>
    <col min="9" max="1024" width="13.28515625"/>
  </cols>
  <sheetData>
    <row r="1" spans="1:8" ht="6" customHeight="1">
      <c r="A1" s="2"/>
      <c r="B1" s="2"/>
      <c r="C1" s="2"/>
      <c r="D1" s="2"/>
      <c r="E1" s="2"/>
      <c r="F1" s="3"/>
      <c r="G1" s="2"/>
      <c r="H1" s="2"/>
    </row>
    <row r="2" spans="1:8" ht="17.100000000000001">
      <c r="A2" s="2"/>
      <c r="B2" s="26" t="s">
        <v>0</v>
      </c>
      <c r="C2" s="38"/>
      <c r="D2" s="38"/>
      <c r="E2" s="38"/>
      <c r="F2" s="38"/>
      <c r="G2" s="39"/>
      <c r="H2" s="2"/>
    </row>
    <row r="3" spans="1:8">
      <c r="A3" s="2"/>
      <c r="B3" s="4" t="s">
        <v>1</v>
      </c>
      <c r="C3" s="5"/>
      <c r="D3" s="6" t="s">
        <v>2</v>
      </c>
      <c r="E3" s="5"/>
      <c r="F3" s="33" t="s">
        <v>3</v>
      </c>
      <c r="G3" s="34"/>
      <c r="H3" s="2"/>
    </row>
    <row r="4" spans="1:8">
      <c r="A4" s="2"/>
      <c r="B4" s="7" t="s">
        <v>4</v>
      </c>
      <c r="C4" s="8"/>
      <c r="D4" s="8">
        <v>5</v>
      </c>
      <c r="F4" s="31" t="s">
        <v>5</v>
      </c>
      <c r="G4" s="32"/>
      <c r="H4" s="2"/>
    </row>
    <row r="5" spans="1:8">
      <c r="A5" s="2"/>
      <c r="B5" s="7" t="s">
        <v>6</v>
      </c>
      <c r="C5" s="8"/>
      <c r="D5" s="8">
        <v>10</v>
      </c>
      <c r="F5" s="31" t="s">
        <v>7</v>
      </c>
      <c r="G5" s="32"/>
      <c r="H5" s="2"/>
    </row>
    <row r="6" spans="1:8">
      <c r="A6" s="2"/>
      <c r="B6" s="7" t="s">
        <v>8</v>
      </c>
      <c r="C6" s="8"/>
      <c r="D6" s="8">
        <v>15</v>
      </c>
      <c r="F6" s="31" t="s">
        <v>9</v>
      </c>
      <c r="G6" s="32"/>
      <c r="H6" s="2"/>
    </row>
    <row r="7" spans="1:8">
      <c r="A7" s="2"/>
      <c r="B7" s="10" t="s">
        <v>10</v>
      </c>
      <c r="C7" s="11"/>
      <c r="D7" s="11">
        <v>20</v>
      </c>
      <c r="E7" s="12"/>
      <c r="F7" s="35" t="s">
        <v>11</v>
      </c>
      <c r="G7" s="36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 ht="15">
      <c r="A9" s="2"/>
      <c r="B9" s="28" t="s">
        <v>12</v>
      </c>
      <c r="C9" s="40"/>
      <c r="D9" s="40"/>
      <c r="E9" s="40"/>
      <c r="F9" s="40"/>
      <c r="G9" s="41"/>
      <c r="H9" s="2"/>
    </row>
    <row r="10" spans="1:8" ht="23.1">
      <c r="A10" s="2"/>
      <c r="B10" s="7" t="s">
        <v>13</v>
      </c>
      <c r="C10" s="13">
        <v>70</v>
      </c>
      <c r="D10" s="29" t="s">
        <v>14</v>
      </c>
      <c r="E10" s="29"/>
      <c r="F10" s="29"/>
      <c r="G10" s="30"/>
      <c r="H10" s="2"/>
    </row>
    <row r="11" spans="1:8">
      <c r="A11" s="2"/>
      <c r="B11" s="7" t="s">
        <v>15</v>
      </c>
      <c r="C11" s="13">
        <v>120</v>
      </c>
      <c r="D11" s="29" t="s">
        <v>16</v>
      </c>
      <c r="E11" s="29"/>
      <c r="F11" s="29"/>
      <c r="G11" s="30"/>
      <c r="H11" s="2"/>
    </row>
    <row r="12" spans="1:8">
      <c r="A12" s="2"/>
      <c r="B12" s="7" t="s">
        <v>17</v>
      </c>
      <c r="C12" s="13">
        <v>175</v>
      </c>
      <c r="D12" s="29" t="s">
        <v>18</v>
      </c>
      <c r="E12" s="29"/>
      <c r="F12" s="29"/>
      <c r="G12" s="30"/>
      <c r="H12" s="2"/>
    </row>
    <row r="13" spans="1:8">
      <c r="A13" s="2"/>
      <c r="B13" s="10" t="s">
        <v>19</v>
      </c>
      <c r="C13" s="42">
        <v>180</v>
      </c>
      <c r="D13" s="43" t="s">
        <v>20</v>
      </c>
      <c r="E13" s="43"/>
      <c r="F13" s="43"/>
      <c r="G13" s="44"/>
      <c r="H13" s="2"/>
    </row>
    <row r="14" spans="1:8">
      <c r="A14" s="2"/>
      <c r="B14" s="2"/>
      <c r="C14" s="2"/>
      <c r="D14" s="2"/>
      <c r="E14" s="2"/>
      <c r="F14" s="3"/>
      <c r="G14" s="2"/>
      <c r="H14" s="2"/>
    </row>
    <row r="15" spans="1:8" ht="17.100000000000001">
      <c r="A15" s="2"/>
      <c r="B15" s="27" t="s">
        <v>21</v>
      </c>
      <c r="C15" s="45"/>
      <c r="D15" s="45"/>
      <c r="E15" s="45"/>
      <c r="F15" s="45"/>
      <c r="G15" s="46"/>
      <c r="H15" s="2"/>
    </row>
    <row r="16" spans="1:8" s="20" customFormat="1" ht="20.100000000000001" customHeight="1">
      <c r="A16" s="14"/>
      <c r="B16" s="15" t="s">
        <v>1</v>
      </c>
      <c r="C16" s="16"/>
      <c r="D16" s="17" t="s">
        <v>22</v>
      </c>
      <c r="E16" s="17" t="s">
        <v>23</v>
      </c>
      <c r="F16" s="18" t="s">
        <v>24</v>
      </c>
      <c r="G16" s="19" t="s">
        <v>25</v>
      </c>
      <c r="H16" s="14"/>
    </row>
    <row r="17" spans="1:8" ht="15.95" customHeight="1">
      <c r="A17" s="2"/>
      <c r="B17" s="7" t="s">
        <v>4</v>
      </c>
      <c r="C17" s="8"/>
      <c r="D17" s="21">
        <v>3</v>
      </c>
      <c r="E17" s="22">
        <v>15</v>
      </c>
      <c r="F17" s="23">
        <f t="shared" ref="F17:F20" si="0">E17*D17</f>
        <v>45</v>
      </c>
      <c r="G17" s="9">
        <f t="shared" ref="G17:G20" si="1">D17*D4</f>
        <v>15</v>
      </c>
      <c r="H17" s="2"/>
    </row>
    <row r="18" spans="1:8">
      <c r="A18" s="2"/>
      <c r="B18" s="7" t="s">
        <v>6</v>
      </c>
      <c r="C18" s="8"/>
      <c r="D18" s="21">
        <v>2</v>
      </c>
      <c r="E18" s="22">
        <v>30</v>
      </c>
      <c r="F18" s="23">
        <f t="shared" si="0"/>
        <v>60</v>
      </c>
      <c r="G18" s="9">
        <f t="shared" si="1"/>
        <v>20</v>
      </c>
      <c r="H18" s="2"/>
    </row>
    <row r="19" spans="1:8">
      <c r="A19" s="2"/>
      <c r="B19" s="7" t="s">
        <v>8</v>
      </c>
      <c r="C19" s="8"/>
      <c r="D19" s="21">
        <v>3</v>
      </c>
      <c r="E19" s="22">
        <v>50</v>
      </c>
      <c r="F19" s="23">
        <f t="shared" si="0"/>
        <v>150</v>
      </c>
      <c r="G19" s="9">
        <f t="shared" si="1"/>
        <v>45</v>
      </c>
      <c r="H19" s="2"/>
    </row>
    <row r="20" spans="1:8">
      <c r="A20" s="2"/>
      <c r="B20" s="7" t="s">
        <v>10</v>
      </c>
      <c r="C20" s="8"/>
      <c r="D20" s="21">
        <v>2</v>
      </c>
      <c r="E20" s="22">
        <v>100</v>
      </c>
      <c r="F20" s="23">
        <f t="shared" si="0"/>
        <v>200</v>
      </c>
      <c r="G20" s="9">
        <f t="shared" si="1"/>
        <v>40</v>
      </c>
      <c r="H20" s="2"/>
    </row>
    <row r="21" spans="1:8">
      <c r="A21" s="2"/>
      <c r="B21" s="24"/>
      <c r="C21" s="22"/>
      <c r="D21" s="22"/>
      <c r="E21" s="22"/>
      <c r="F21" s="23"/>
      <c r="G21" s="9"/>
      <c r="H21" s="2"/>
    </row>
    <row r="22" spans="1:8">
      <c r="A22" s="2"/>
      <c r="B22" s="24"/>
      <c r="C22" s="22"/>
      <c r="D22" s="22"/>
      <c r="E22" s="22"/>
      <c r="G22" s="9">
        <f>SUM(G17,G18,G19,G20)</f>
        <v>120</v>
      </c>
      <c r="H22" s="2"/>
    </row>
    <row r="23" spans="1:8">
      <c r="A23" s="2"/>
      <c r="B23" s="24" t="s">
        <v>26</v>
      </c>
      <c r="E23" s="22"/>
      <c r="G23" s="25"/>
      <c r="H23" s="2"/>
    </row>
    <row r="24" spans="1:8">
      <c r="A24" s="2"/>
      <c r="B24" s="47" t="str">
        <f>_xlfn.IFS(G22&gt;=C13,D13,G22&lt;=C10,D10,G22&lt;=C11,D11,G22&lt;=C12,D12)</f>
        <v>Um bolo grande e recheado gratis ou R$35 de desconto</v>
      </c>
      <c r="C24" s="48"/>
      <c r="D24" s="48"/>
      <c r="E24" s="48"/>
      <c r="F24" s="49"/>
      <c r="G24" s="50"/>
      <c r="H24" s="2"/>
    </row>
    <row r="25" spans="1:8" ht="12" customHeight="1">
      <c r="A25" s="2"/>
      <c r="B25" s="2"/>
      <c r="C25" s="2">
        <f>MIN(C1:C24)</f>
        <v>70</v>
      </c>
      <c r="D25" s="2"/>
      <c r="E25" s="2"/>
      <c r="F25" s="3"/>
      <c r="G25" s="2"/>
      <c r="H25" s="2"/>
    </row>
    <row r="28" spans="1:8">
      <c r="B28" s="51" t="s">
        <v>27</v>
      </c>
      <c r="C28" s="51"/>
      <c r="D28" s="51"/>
      <c r="E28" s="51"/>
      <c r="F28" s="51"/>
      <c r="G28" s="37">
        <f>SUM(F17,F18,F19,F20)</f>
        <v>455</v>
      </c>
    </row>
    <row r="29" spans="1:8">
      <c r="B29" s="51"/>
      <c r="C29" s="51"/>
      <c r="D29" s="51"/>
      <c r="E29" s="51"/>
      <c r="F29" s="51"/>
      <c r="G29" s="37"/>
    </row>
  </sheetData>
  <mergeCells count="15">
    <mergeCell ref="B2:G2"/>
    <mergeCell ref="B15:G15"/>
    <mergeCell ref="B9:G9"/>
    <mergeCell ref="B24:G24"/>
    <mergeCell ref="B28:F29"/>
    <mergeCell ref="D12:G12"/>
    <mergeCell ref="D10:G10"/>
    <mergeCell ref="D13:G13"/>
    <mergeCell ref="D11:G11"/>
    <mergeCell ref="F4:G4"/>
    <mergeCell ref="F3:G3"/>
    <mergeCell ref="F7:G7"/>
    <mergeCell ref="F5:G5"/>
    <mergeCell ref="F6:G6"/>
    <mergeCell ref="G28:G29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Káic Lorran Vicente Prudencio</cp:lastModifiedBy>
  <cp:revision/>
  <dcterms:created xsi:type="dcterms:W3CDTF">2025-07-09T02:07:55Z</dcterms:created>
  <dcterms:modified xsi:type="dcterms:W3CDTF">2025-07-09T02:11:13Z</dcterms:modified>
  <cp:category/>
  <cp:contentStatus/>
</cp:coreProperties>
</file>