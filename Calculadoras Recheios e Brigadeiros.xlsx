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aicc\Downloads\"/>
    </mc:Choice>
  </mc:AlternateContent>
  <xr:revisionPtr revIDLastSave="524" documentId="8_{6BB9F512-E478-EE4A-A60D-74DD7F5A0F6E}" xr6:coauthVersionLast="47" xr6:coauthVersionMax="47" xr10:uidLastSave="{5969C3D7-4837-8F45-BCCF-BE1B8765AB98}"/>
  <bookViews>
    <workbookView xWindow="-108" yWindow="-108" windowWidth="23256" windowHeight="12456" firstSheet="1" activeTab="1" xr2:uid="{36AB75F5-750E-4317-A3A7-B8A658551D68}"/>
  </bookViews>
  <sheets>
    <sheet name="Calculadora de Recheios" sheetId="11" r:id="rId1"/>
    <sheet name="Calculadora de Brigadeiros" sheetId="10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1" l="1"/>
  <c r="E9" i="11"/>
  <c r="E28" i="11" a="1"/>
  <c r="E28" i="11"/>
  <c r="C7" i="11"/>
  <c r="I28" i="11"/>
  <c r="H9" i="11"/>
  <c r="I25" i="11"/>
  <c r="I23" i="11"/>
  <c r="I26" i="11"/>
  <c r="F9" i="11"/>
  <c r="K5" i="11"/>
  <c r="I17" i="11"/>
  <c r="P22" i="11"/>
  <c r="K4" i="11"/>
  <c r="O22" i="11"/>
  <c r="F11" i="11" a="1"/>
  <c r="F11" i="11"/>
  <c r="L4" i="11"/>
  <c r="N4" i="11"/>
  <c r="P4" i="11"/>
  <c r="K25" i="11"/>
  <c r="F5" i="11"/>
  <c r="L5" i="11"/>
  <c r="N5" i="11"/>
  <c r="P5" i="11"/>
  <c r="E8" i="11"/>
  <c r="K28" i="11"/>
  <c r="C10" i="11"/>
  <c r="H8" i="11"/>
  <c r="K26" i="11"/>
  <c r="C11" i="11"/>
  <c r="E11" i="11"/>
  <c r="J21" i="11"/>
  <c r="E12" i="11"/>
  <c r="J19" i="11"/>
  <c r="J18" i="11"/>
  <c r="F12" i="11"/>
  <c r="K23" i="11"/>
  <c r="C14" i="11"/>
  <c r="K17" i="11"/>
  <c r="J17" i="11"/>
  <c r="I16" i="11"/>
  <c r="K16" i="11"/>
  <c r="J16" i="11"/>
  <c r="I14" i="11"/>
  <c r="F14" i="11"/>
  <c r="I24" i="11"/>
  <c r="K24" i="11"/>
  <c r="C15" i="11"/>
  <c r="E15" i="11"/>
  <c r="F15" i="11"/>
  <c r="F20" i="11"/>
  <c r="J20" i="11"/>
  <c r="F21" i="11"/>
  <c r="F22" i="11"/>
  <c r="I27" i="11"/>
  <c r="K27" i="11"/>
  <c r="C28" i="11"/>
  <c r="C29" i="11"/>
  <c r="E30" i="11"/>
  <c r="E31" i="11"/>
  <c r="C32" i="11"/>
  <c r="E32" i="11"/>
  <c r="C34" i="11"/>
  <c r="I1" i="11"/>
  <c r="K1" i="11"/>
  <c r="J1" i="11"/>
  <c r="P9" i="10"/>
  <c r="Q9" i="10"/>
  <c r="L9" i="10"/>
  <c r="L23" i="10"/>
  <c r="S21" i="10" a="1"/>
  <c r="S21" i="10"/>
  <c r="T21" i="10"/>
  <c r="T22" i="10"/>
  <c r="T23" i="10"/>
  <c r="U21" i="10"/>
  <c r="V22" i="10"/>
  <c r="V21" i="10"/>
  <c r="AB24" i="10"/>
  <c r="AF41" i="10"/>
  <c r="AB25" i="10"/>
  <c r="AF42" i="10"/>
  <c r="AB27" i="10"/>
  <c r="AF44" i="10"/>
  <c r="V24" i="10"/>
  <c r="E27" i="10"/>
  <c r="AB28" i="10"/>
  <c r="AF45" i="10"/>
  <c r="AG45" i="10"/>
  <c r="AF50" i="10"/>
  <c r="I24" i="10"/>
  <c r="I26" i="10"/>
  <c r="I28" i="10"/>
  <c r="I29" i="10"/>
  <c r="I48" i="10"/>
  <c r="I49" i="10"/>
  <c r="B13" i="10"/>
  <c r="AB21" i="10"/>
  <c r="AF38" i="10"/>
  <c r="V28" i="10"/>
  <c r="E31" i="10"/>
  <c r="AB22" i="10"/>
  <c r="AF39" i="10"/>
  <c r="V23" i="10"/>
  <c r="AB23" i="10"/>
  <c r="AF40" i="10"/>
  <c r="AB26" i="10"/>
  <c r="AF43" i="10"/>
  <c r="AF49" i="10"/>
  <c r="I34" i="10"/>
  <c r="I37" i="10"/>
  <c r="I39" i="10"/>
  <c r="I40" i="10"/>
  <c r="I57" i="10"/>
  <c r="I58" i="10"/>
  <c r="B16" i="10"/>
  <c r="I67" i="10"/>
  <c r="I69" i="10"/>
  <c r="I71" i="10"/>
  <c r="I72" i="10"/>
  <c r="I78" i="10"/>
  <c r="I79" i="10"/>
  <c r="B10" i="10"/>
  <c r="D24" i="10"/>
  <c r="AD1" i="10"/>
  <c r="I1" i="10"/>
  <c r="H114" i="10"/>
  <c r="I114" i="10"/>
  <c r="H113" i="10"/>
  <c r="I113" i="10"/>
  <c r="H112" i="10"/>
  <c r="H111" i="10"/>
  <c r="I111" i="10"/>
  <c r="H110" i="10"/>
  <c r="I110" i="10"/>
  <c r="H109" i="10"/>
  <c r="I109" i="10"/>
  <c r="H108" i="10"/>
  <c r="I108" i="10"/>
  <c r="H107" i="10"/>
  <c r="I107" i="10"/>
  <c r="H106" i="10"/>
  <c r="I106" i="10"/>
  <c r="H105" i="10"/>
  <c r="AD45" i="10"/>
  <c r="AD44" i="10"/>
  <c r="AD43" i="10"/>
  <c r="AD42" i="10"/>
  <c r="AD41" i="10"/>
  <c r="AD40" i="10"/>
  <c r="AD39" i="10"/>
  <c r="AD38" i="10"/>
  <c r="AD37" i="10"/>
  <c r="AD34" i="10"/>
  <c r="E34" i="10"/>
  <c r="AD33" i="10"/>
  <c r="D33" i="10"/>
  <c r="F33" i="10"/>
  <c r="D32" i="10"/>
  <c r="F32" i="10"/>
  <c r="D31" i="10"/>
  <c r="F31" i="10"/>
  <c r="V30" i="10"/>
  <c r="T30" i="10"/>
  <c r="D30" i="10"/>
  <c r="F30" i="10"/>
  <c r="V29" i="10"/>
  <c r="T29" i="10"/>
  <c r="D29" i="10"/>
  <c r="F29" i="10"/>
  <c r="T28" i="10"/>
  <c r="D28" i="10"/>
  <c r="F28" i="10"/>
  <c r="V27" i="10"/>
  <c r="T27" i="10"/>
  <c r="D27" i="10"/>
  <c r="V26" i="10"/>
  <c r="T26" i="10"/>
  <c r="D26" i="10"/>
  <c r="F26" i="10"/>
  <c r="V25" i="10"/>
  <c r="T25" i="10"/>
  <c r="D25" i="10"/>
  <c r="W22" i="10"/>
  <c r="X22" i="10"/>
  <c r="Y22" i="10"/>
  <c r="F25" i="10"/>
  <c r="T24" i="10"/>
  <c r="F24" i="10"/>
  <c r="S10" i="10"/>
  <c r="F9" i="10"/>
  <c r="D9" i="10"/>
  <c r="C9" i="10"/>
  <c r="E9" i="10"/>
  <c r="B9" i="10"/>
  <c r="L8" i="10"/>
  <c r="B7" i="10"/>
  <c r="E6" i="10"/>
  <c r="B6" i="10"/>
  <c r="E5" i="10"/>
  <c r="AE36" i="10"/>
  <c r="AF36" i="10"/>
  <c r="AJ4" i="10"/>
  <c r="I87" i="10"/>
  <c r="I89" i="10"/>
  <c r="B4" i="10"/>
  <c r="AF1" i="10"/>
  <c r="AE1" i="10"/>
  <c r="I91" i="10"/>
  <c r="I92" i="10"/>
  <c r="I98" i="10"/>
  <c r="L27" i="10"/>
  <c r="O24" i="10"/>
  <c r="W23" i="10"/>
  <c r="X23" i="10"/>
  <c r="Y23" i="10"/>
  <c r="W24" i="10"/>
  <c r="X24" i="10"/>
  <c r="Y24" i="10"/>
  <c r="E28" i="10"/>
  <c r="W25" i="10"/>
  <c r="X25" i="10"/>
  <c r="Y25" i="10"/>
  <c r="E29" i="10"/>
  <c r="W26" i="10"/>
  <c r="X26" i="10"/>
  <c r="Y26" i="10"/>
  <c r="F27" i="10"/>
  <c r="E30" i="10"/>
  <c r="W27" i="10"/>
  <c r="X27" i="10"/>
  <c r="Y27" i="10"/>
  <c r="W28" i="10"/>
  <c r="X28" i="10"/>
  <c r="Y28" i="10"/>
  <c r="E32" i="10"/>
  <c r="W29" i="10"/>
  <c r="X29" i="10"/>
  <c r="Y29" i="10"/>
  <c r="E33" i="10"/>
  <c r="W30" i="10"/>
  <c r="X30" i="10"/>
  <c r="Y30" i="10"/>
  <c r="AE33" i="10"/>
  <c r="AF33" i="10"/>
  <c r="AE34" i="10"/>
  <c r="AF34" i="10"/>
  <c r="AE37" i="10"/>
  <c r="AF37" i="10"/>
  <c r="AE38" i="10"/>
  <c r="AC21" i="10"/>
  <c r="AE39" i="10"/>
  <c r="AE40" i="10"/>
  <c r="AE41" i="10"/>
  <c r="AE42" i="10"/>
  <c r="AC25" i="10"/>
  <c r="AE43" i="10"/>
  <c r="AC26" i="10"/>
  <c r="AE44" i="10"/>
  <c r="AC27" i="10"/>
  <c r="AE46" i="10"/>
  <c r="AH46" i="10"/>
  <c r="AE45" i="10"/>
  <c r="I112" i="10"/>
  <c r="I80" i="10"/>
  <c r="AE47" i="10"/>
  <c r="AH45" i="10"/>
  <c r="AE21" i="10"/>
  <c r="AC28" i="10"/>
  <c r="AC23" i="10"/>
  <c r="I100" i="10"/>
  <c r="I99" i="10"/>
  <c r="AE23" i="10"/>
  <c r="W21" i="10"/>
  <c r="X21" i="10"/>
  <c r="Y21" i="10"/>
  <c r="AC24" i="10"/>
  <c r="I105" i="10"/>
  <c r="I115" i="10"/>
  <c r="J115" i="10"/>
  <c r="K115" i="10"/>
  <c r="E35" i="10"/>
  <c r="AC22" i="10"/>
  <c r="AB30" i="10"/>
  <c r="AE22" i="10"/>
  <c r="AC30" i="10"/>
  <c r="AE24" i="10"/>
  <c r="Q8" i="10"/>
  <c r="P8" i="10"/>
  <c r="D38" i="10"/>
  <c r="I50" i="10"/>
  <c r="D13" i="10"/>
  <c r="E13" i="10"/>
  <c r="I42" i="10"/>
  <c r="AF21" i="10"/>
  <c r="AF23" i="10"/>
  <c r="AF22" i="10"/>
  <c r="AF24" i="10"/>
  <c r="K9" i="10"/>
  <c r="L22" i="10"/>
  <c r="K8" i="10"/>
  <c r="L26" i="10"/>
  <c r="N24" i="10"/>
  <c r="AH24" i="10"/>
  <c r="AG24" i="10"/>
  <c r="AH22" i="10"/>
  <c r="AG22" i="10"/>
  <c r="AH23" i="10"/>
  <c r="AG23" i="10"/>
  <c r="AH21" i="10"/>
  <c r="AG21" i="10"/>
  <c r="I59" i="10"/>
  <c r="C13" i="10"/>
  <c r="M8" i="10"/>
  <c r="I60" i="10"/>
  <c r="D16" i="10"/>
  <c r="E16" i="10"/>
  <c r="D10" i="10"/>
  <c r="I62" i="10"/>
  <c r="F16" i="10"/>
  <c r="D39" i="10"/>
  <c r="D6" i="10"/>
  <c r="D7" i="10"/>
  <c r="C16" i="10"/>
  <c r="E10" i="10"/>
  <c r="C10" i="10"/>
  <c r="I82" i="10"/>
  <c r="F10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<sst xmlns="http://schemas.openxmlformats.org/spreadsheetml/2006/main" count="236" uniqueCount="149">
  <si>
    <t>Quantidade Quando Frutado:</t>
  </si>
  <si>
    <t>Calculadora de Recheios - Bolos Confeitados - Doce Lua</t>
  </si>
  <si>
    <t>Meta Peso Bolo Total:</t>
  </si>
  <si>
    <t>Categoria Finalização do Bolo:</t>
  </si>
  <si>
    <t>Bolo Confeitado Chantininho</t>
  </si>
  <si>
    <t>Tradicional/Mousses com Ganache</t>
  </si>
  <si>
    <t>Quando Frutado:</t>
  </si>
  <si>
    <t>gr.</t>
  </si>
  <si>
    <t xml:space="preserve"> de </t>
  </si>
  <si>
    <t>Chantininho:</t>
  </si>
  <si>
    <t>Especiais/Gourmet</t>
  </si>
  <si>
    <t>Quando Chocolate especial:</t>
  </si>
  <si>
    <t>Informações Massa</t>
  </si>
  <si>
    <t>Frutado</t>
  </si>
  <si>
    <t>Kg. Massa Necessária:</t>
  </si>
  <si>
    <t>Informações Recheio</t>
  </si>
  <si>
    <t>Chocolate Especial</t>
  </si>
  <si>
    <t>Kg. Massa Disponível:</t>
  </si>
  <si>
    <t>Categoria do Recheio:</t>
  </si>
  <si>
    <t>Kg. Compensação Necessária:</t>
  </si>
  <si>
    <t xml:space="preserve">Recheio Necessário Total </t>
  </si>
  <si>
    <t>Compensação Hidratação:</t>
  </si>
  <si>
    <t>+ Compensação</t>
  </si>
  <si>
    <t>Informações Hidratação</t>
  </si>
  <si>
    <t>Categoria sabor:</t>
  </si>
  <si>
    <t>Hidratação Necessária:</t>
  </si>
  <si>
    <t>Repartição em 2 Camadas:</t>
  </si>
  <si>
    <t>repartiçao 2 camadas recheio base:</t>
  </si>
  <si>
    <t>Repartição em 3 Camadas:</t>
  </si>
  <si>
    <t>Ninho / Brigadeiro</t>
  </si>
  <si>
    <t>Quantidade Quando Chocolate especial:</t>
  </si>
  <si>
    <t>Fruta</t>
  </si>
  <si>
    <t>ml</t>
  </si>
  <si>
    <t>Meta peso bolo atual</t>
  </si>
  <si>
    <t>Massa disponível:</t>
  </si>
  <si>
    <t>Hidratação total bolo seco = 1/3 total</t>
  </si>
  <si>
    <t>sobra:</t>
  </si>
  <si>
    <t>Chantininho</t>
  </si>
  <si>
    <t>total pre cozimento necessário com segurança:</t>
  </si>
  <si>
    <t>Miçanguinhas - Massa preta</t>
  </si>
  <si>
    <t>Calculadora de Brigadeiros - Doce Lua</t>
  </si>
  <si>
    <t>Campo formulas</t>
  </si>
  <si>
    <t>peso em gramas de cada acabamento</t>
  </si>
  <si>
    <t>peso total brigadeiro</t>
  </si>
  <si>
    <t>subtraçao do peso do acabamento</t>
  </si>
  <si>
    <t>Valor total adicionando reduçao por unid</t>
  </si>
  <si>
    <t>Tipo de Receita á confeccionar:</t>
  </si>
  <si>
    <t>Recheios para Bolos</t>
  </si>
  <si>
    <t>Quantidade redução pós cozimento</t>
  </si>
  <si>
    <t>Quantidade em cada caixa Leite Condensado:</t>
  </si>
  <si>
    <t>Quantidade em unidades Brigadeiro</t>
  </si>
  <si>
    <t>Quantidade em cada caixa Creme de Leite</t>
  </si>
  <si>
    <t>Valor pos cozimento multiplicado pela porcentagem de cada ingrediente para receita de Recheios para Bolos</t>
  </si>
  <si>
    <t>Valor pos cozimento multiplicado pela porcentagem de cada ingrediente para receita de brigadeiros</t>
  </si>
  <si>
    <t>Valor somado de cada ingrediente PRE cozido, considerando 3% de segurança</t>
  </si>
  <si>
    <t>Tipos de Receitas</t>
  </si>
  <si>
    <t>Porcentagem perca pos cozimento entre as receitas</t>
  </si>
  <si>
    <t>Valor necessario pos cozimento adicionando a perca para cada receita</t>
  </si>
  <si>
    <t>Quantidade necessária Receita total</t>
  </si>
  <si>
    <t>Porcentagem quantidade Leite condensado em cada Receita 1x1 cx</t>
  </si>
  <si>
    <t>Creme de Leite</t>
  </si>
  <si>
    <t>Brigadeiros</t>
  </si>
  <si>
    <t>Porcentagem quantidade Creme de Leite em cada Receita 1x1 cx</t>
  </si>
  <si>
    <t>Leite Condensado</t>
  </si>
  <si>
    <t>Quantidade de opçoes de sabores</t>
  </si>
  <si>
    <t>soma total de opçoes</t>
  </si>
  <si>
    <t>Divisao entre opçoes para cada modelo</t>
  </si>
  <si>
    <t>Quantos brigadeiros com acabamento de:</t>
  </si>
  <si>
    <t>Quantidade necessária ingredientes - Massa Branca</t>
  </si>
  <si>
    <t>Quantidade por Caixa</t>
  </si>
  <si>
    <t/>
  </si>
  <si>
    <t>Quantidade necessária ingredientes - Massa Preta</t>
  </si>
  <si>
    <t>Cacau em pó por colher de sopa</t>
  </si>
  <si>
    <t>Calculo 2</t>
  </si>
  <si>
    <t>Leite condensado para cada receita PRE cozimento</t>
  </si>
  <si>
    <t>Leite em pó - Massa preta</t>
  </si>
  <si>
    <t>Quantidade unitária e repartições de brigadeiros</t>
  </si>
  <si>
    <t>Brigadeiro Branco</t>
  </si>
  <si>
    <t>Novo total somando 3% segurança PRE Cozimento para cada receita</t>
  </si>
  <si>
    <t>Granulado - Massa Preta</t>
  </si>
  <si>
    <t>Titulo sabor</t>
  </si>
  <si>
    <t>Acabamento</t>
  </si>
  <si>
    <t>Casadinho?</t>
  </si>
  <si>
    <t>Quantidade em Unidade para Cada Tipo de Brigadeiro</t>
  </si>
  <si>
    <t>Quantidade perca</t>
  </si>
  <si>
    <t>Pos cozimento meta branco</t>
  </si>
  <si>
    <t>Leite em pó - Massa Branca</t>
  </si>
  <si>
    <t>inverso porcentagem restante</t>
  </si>
  <si>
    <t>Creme de leite para cada receita PRE cozimento</t>
  </si>
  <si>
    <t>Miçanguinhas - Massa Branca</t>
  </si>
  <si>
    <t>total pre cozimento necessário brigadeiro branco:</t>
  </si>
  <si>
    <t>Açúcar - Massa Preta</t>
  </si>
  <si>
    <t>Casadinho Leite em pó / Açúcar</t>
  </si>
  <si>
    <t>porcentagem segurança sobra:</t>
  </si>
  <si>
    <t>Açúcar - Massa Branca</t>
  </si>
  <si>
    <t>Miçanguinhas</t>
  </si>
  <si>
    <t xml:space="preserve">valor para soma de pre cozimento com porcentagem segurança </t>
  </si>
  <si>
    <t>Leite em pó</t>
  </si>
  <si>
    <t>soma total</t>
  </si>
  <si>
    <t>Brigadeiro Preto</t>
  </si>
  <si>
    <t>Modelos disponíveis</t>
  </si>
  <si>
    <t xml:space="preserve">peso total brigadeiro adicionando redução </t>
  </si>
  <si>
    <t>Pos cozimento meta preto</t>
  </si>
  <si>
    <t>Granulado</t>
  </si>
  <si>
    <t>Quantidade em Grama de granulado para Brigadeiros selecionados:</t>
  </si>
  <si>
    <t>Diferença de modelos de massas:</t>
  </si>
  <si>
    <t>Quantidade em Gramas de massa para cada tipo:</t>
  </si>
  <si>
    <t>Massa Brigadeiro Branco</t>
  </si>
  <si>
    <t>Massa Brigadeiro Preto</t>
  </si>
  <si>
    <t>Calculo porcentagem cada ingred Calculo 3</t>
  </si>
  <si>
    <t>branco</t>
  </si>
  <si>
    <t>total leite condensado/total receita</t>
  </si>
  <si>
    <t>preto</t>
  </si>
  <si>
    <t>total creme de leite/total receita</t>
  </si>
  <si>
    <t>receita pre cozimento brigadeiro branco</t>
  </si>
  <si>
    <t>resultado leite condensado</t>
  </si>
  <si>
    <t>soma meta em gramas de brigadeiros pretos</t>
  </si>
  <si>
    <t>resultado creme de leite</t>
  </si>
  <si>
    <t>soma meta em gramas de brigadeiros brancos</t>
  </si>
  <si>
    <t>Brigadeiro preto</t>
  </si>
  <si>
    <t xml:space="preserve">total cacau em pó </t>
  </si>
  <si>
    <t>receita pre cozimento brigadeiro preto</t>
  </si>
  <si>
    <t>resultado cacau em pó</t>
  </si>
  <si>
    <t>cada colher de sopa contem 5g cacau</t>
  </si>
  <si>
    <t>Quantidade colher de sopa de cacau na receita</t>
  </si>
  <si>
    <t>Calculo 4 - Recheios para Bolos</t>
  </si>
  <si>
    <t>Calculo porcentagem cada ingred Calculo 4</t>
  </si>
  <si>
    <t>receita pre Recheios para Bolos</t>
  </si>
  <si>
    <t>cacau recheio para bolo</t>
  </si>
  <si>
    <t>Calculo 5</t>
  </si>
  <si>
    <t>Geléia de Morango</t>
  </si>
  <si>
    <t>total pre cozimento necessário geleia de morango:</t>
  </si>
  <si>
    <t>Calculo porcentagem cada ingred Calculo 5</t>
  </si>
  <si>
    <t>total Morango/total receita</t>
  </si>
  <si>
    <t>total açúcar/total receita</t>
  </si>
  <si>
    <t>resultado morango</t>
  </si>
  <si>
    <t xml:space="preserve">resultado açúcar </t>
  </si>
  <si>
    <t>n/a</t>
  </si>
  <si>
    <t>calculo 6</t>
  </si>
  <si>
    <t>Quantidade de Granulado em unidade de brigadeiro</t>
  </si>
  <si>
    <t>Quantidade em grama de granulado total</t>
  </si>
  <si>
    <t>Anotações gerais</t>
  </si>
  <si>
    <t>Bolo de 3kg a massa pesa 900g</t>
  </si>
  <si>
    <t xml:space="preserve">Quantidade total de </t>
  </si>
  <si>
    <t>frutado</t>
  </si>
  <si>
    <t>choc especial</t>
  </si>
  <si>
    <t>Quantidade de ninho brigadeiro subtraindo quantidade adicional:</t>
  </si>
  <si>
    <t>Bolo de 2kg a massa pesa 600g</t>
  </si>
  <si>
    <t>brigadeiro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</si>
</sst>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"/>
    <numFmt numFmtId="165" formatCode="#0.00"/>
    <numFmt numFmtId="166" formatCode="#0.0"/>
    <numFmt numFmtId="167" formatCode="#0%"/>
  </numFmts>
  <fonts count="21" x14ac:knownFonts="1">
    <font>
      <sz val="11"/>
      <color theme="1"/>
      <name val="Aptos Narrow"/>
      <family val="2"/>
      <scheme val="minor"/>
    </font>
    <font>
      <sz val="10"/>
      <name val="Roboto"/>
    </font>
    <font>
      <b/>
      <sz val="16"/>
      <color rgb="FF3498DB"/>
      <name val="Georgia"/>
    </font>
    <font>
      <b/>
      <sz val="16"/>
      <color rgb="FFFFFFFF"/>
      <name val="Times New Roman"/>
    </font>
    <font>
      <sz val="10"/>
      <color rgb="FF3498DB"/>
      <name val="Roboto"/>
    </font>
    <font>
      <b/>
      <sz val="10"/>
      <name val="Roboto"/>
    </font>
    <font>
      <sz val="10"/>
      <color rgb="FF5883DA"/>
      <name val="Roboto"/>
    </font>
    <font>
      <sz val="8"/>
      <name val="Roboto"/>
    </font>
    <font>
      <b/>
      <sz val="16"/>
      <color rgb="FFFFFFFF"/>
      <name val="Georgia"/>
    </font>
    <font>
      <b/>
      <sz val="12"/>
      <name val="Georgia"/>
    </font>
    <font>
      <b/>
      <sz val="9"/>
      <name val="Courier New"/>
    </font>
    <font>
      <b/>
      <sz val="15"/>
      <name val="Georgia"/>
    </font>
    <font>
      <b/>
      <sz val="8"/>
      <name val="Courier New"/>
    </font>
    <font>
      <sz val="15"/>
      <name val="Roboto"/>
    </font>
    <font>
      <b/>
      <sz val="11"/>
      <name val="Courier New"/>
    </font>
    <font>
      <sz val="8"/>
      <name val="Courier New"/>
    </font>
    <font>
      <b/>
      <sz val="10"/>
      <name val="Courier New"/>
    </font>
    <font>
      <b/>
      <sz val="14"/>
      <name val="Roboto"/>
    </font>
    <font>
      <b/>
      <sz val="11"/>
      <name val="Georgia"/>
    </font>
    <font>
      <sz val="10"/>
      <color rgb="FFEE4675"/>
      <name val="Roboto"/>
    </font>
    <font>
      <sz val="10"/>
      <color rgb="FF084F6A"/>
      <name val="Roboto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44D73"/>
        <bgColor rgb="FF144D73"/>
      </patternFill>
    </fill>
    <fill>
      <patternFill patternType="solid">
        <fgColor rgb="FF763E8D"/>
        <bgColor rgb="FF763E8D"/>
      </patternFill>
    </fill>
    <fill>
      <patternFill patternType="solid">
        <fgColor rgb="FFAAECC6"/>
        <bgColor rgb="FFAAECC6"/>
      </patternFill>
    </fill>
    <fill>
      <patternFill patternType="solid">
        <fgColor rgb="FF084F6A"/>
        <bgColor rgb="FF000000"/>
      </patternFill>
    </fill>
    <fill>
      <patternFill patternType="solid">
        <fgColor rgb="FF9BDEB4"/>
        <bgColor rgb="FF9BDEB4"/>
      </patternFill>
    </fill>
    <fill>
      <patternFill patternType="solid">
        <fgColor rgb="FFFFFFFF"/>
        <bgColor rgb="FF000000"/>
      </patternFill>
    </fill>
    <fill>
      <patternFill patternType="solid">
        <fgColor rgb="FFF1C40F"/>
        <bgColor rgb="FFF1C40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B4E5A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9F2D0"/>
        <bgColor rgb="FF000000"/>
      </patternFill>
    </fill>
  </fills>
  <borders count="41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ck">
        <color rgb="FF773A0D"/>
      </left>
      <right/>
      <top style="thick">
        <color rgb="FF773A0D"/>
      </top>
      <bottom/>
      <diagonal/>
    </border>
    <border>
      <left/>
      <right style="thick">
        <color rgb="FF773A0D"/>
      </right>
      <top style="thick">
        <color rgb="FF773A0D"/>
      </top>
      <bottom/>
      <diagonal/>
    </border>
    <border>
      <left style="thick">
        <color rgb="FF773A0D"/>
      </left>
      <right/>
      <top/>
      <bottom/>
      <diagonal/>
    </border>
    <border>
      <left/>
      <right style="thick">
        <color rgb="FF773A0D"/>
      </right>
      <top/>
      <bottom/>
      <diagonal/>
    </border>
    <border>
      <left style="thick">
        <color rgb="FF773A0D"/>
      </left>
      <right/>
      <top/>
      <bottom style="thick">
        <color rgb="FF773A0D"/>
      </bottom>
      <diagonal/>
    </border>
    <border>
      <left/>
      <right style="thick">
        <color rgb="FF773A0D"/>
      </right>
      <top/>
      <bottom style="thick">
        <color rgb="FF773A0D"/>
      </bottom>
      <diagonal/>
    </border>
    <border>
      <left style="thick">
        <color rgb="FFAED6F1"/>
      </left>
      <right/>
      <top style="thick">
        <color rgb="FFAED6F1"/>
      </top>
      <bottom/>
      <diagonal/>
    </border>
    <border>
      <left/>
      <right style="thick">
        <color rgb="FFAED6F1"/>
      </right>
      <top style="thick">
        <color rgb="FFAED6F1"/>
      </top>
      <bottom/>
      <diagonal/>
    </border>
    <border>
      <left style="thick">
        <color rgb="FFAED6F1"/>
      </left>
      <right/>
      <top/>
      <bottom/>
      <diagonal/>
    </border>
    <border>
      <left/>
      <right style="thick">
        <color rgb="FFAED6F1"/>
      </right>
      <top/>
      <bottom/>
      <diagonal/>
    </border>
    <border>
      <left style="thick">
        <color rgb="FFAED6F1"/>
      </left>
      <right/>
      <top/>
      <bottom style="thick">
        <color rgb="FFAED6F1"/>
      </bottom>
      <diagonal/>
    </border>
    <border>
      <left/>
      <right style="thick">
        <color rgb="FFAED6F1"/>
      </right>
      <top/>
      <bottom style="thick">
        <color rgb="FFAED6F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FFFFFF"/>
      </left>
      <right/>
      <top/>
      <bottom/>
      <diagonal/>
    </border>
    <border>
      <left/>
      <right style="thick">
        <color rgb="FFFFFFFF"/>
      </right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3" borderId="0" xfId="0" applyFont="1" applyFill="1" applyAlignment="1">
      <alignment horizontal="center" vertical="top"/>
    </xf>
    <xf numFmtId="0" fontId="1" fillId="3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1" fillId="3" borderId="0" xfId="0" applyFont="1" applyFill="1" applyAlignment="1">
      <alignment horizontal="left" vertical="top"/>
    </xf>
    <xf numFmtId="9" fontId="1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1" fillId="5" borderId="0" xfId="0" applyFont="1" applyFill="1" applyAlignment="1">
      <alignment horizontal="left" vertical="top"/>
    </xf>
    <xf numFmtId="0" fontId="1" fillId="5" borderId="2" xfId="0" applyFont="1" applyFill="1" applyBorder="1" applyAlignment="1">
      <alignment horizontal="left" vertical="top"/>
    </xf>
    <xf numFmtId="0" fontId="4" fillId="3" borderId="0" xfId="0" applyFont="1" applyFill="1" applyAlignment="1">
      <alignment horizontal="center" vertical="top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5" borderId="8" xfId="0" applyFont="1" applyFill="1" applyBorder="1" applyAlignment="1">
      <alignment horizontal="left" vertical="top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vertical="top"/>
    </xf>
    <xf numFmtId="0" fontId="1" fillId="0" borderId="14" xfId="0" applyFont="1" applyBorder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5" fillId="0" borderId="1" xfId="0" applyFont="1" applyBorder="1" applyAlignment="1">
      <alignment horizontal="right" vertical="top"/>
    </xf>
    <xf numFmtId="0" fontId="1" fillId="6" borderId="0" xfId="0" applyFont="1" applyFill="1" applyAlignment="1">
      <alignment vertical="top"/>
    </xf>
    <xf numFmtId="0" fontId="11" fillId="0" borderId="17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8" borderId="0" xfId="0" applyNumberFormat="1" applyFont="1" applyFill="1" applyAlignment="1">
      <alignment horizontal="center" vertical="top"/>
    </xf>
    <xf numFmtId="0" fontId="1" fillId="6" borderId="0" xfId="0" applyFont="1" applyFill="1" applyAlignment="1">
      <alignment horizontal="center" vertical="top"/>
    </xf>
    <xf numFmtId="0" fontId="16" fillId="9" borderId="28" xfId="0" applyFont="1" applyFill="1" applyBorder="1" applyAlignment="1">
      <alignment horizontal="center" vertical="center"/>
    </xf>
    <xf numFmtId="0" fontId="16" fillId="9" borderId="29" xfId="0" applyFont="1" applyFill="1" applyBorder="1" applyAlignment="1">
      <alignment horizontal="center" vertical="center" wrapText="1"/>
    </xf>
    <xf numFmtId="0" fontId="16" fillId="9" borderId="0" xfId="0" applyFont="1" applyFill="1" applyAlignment="1">
      <alignment horizontal="center" vertical="center"/>
    </xf>
    <xf numFmtId="0" fontId="16" fillId="9" borderId="17" xfId="0" applyFont="1" applyFill="1" applyBorder="1" applyAlignment="1">
      <alignment horizontal="center" vertical="center" wrapText="1"/>
    </xf>
    <xf numFmtId="165" fontId="17" fillId="9" borderId="28" xfId="0" applyNumberFormat="1" applyFont="1" applyFill="1" applyBorder="1" applyAlignment="1">
      <alignment horizontal="center" vertical="center"/>
    </xf>
    <xf numFmtId="166" fontId="17" fillId="9" borderId="29" xfId="0" applyNumberFormat="1" applyFont="1" applyFill="1" applyBorder="1" applyAlignment="1">
      <alignment horizontal="center" vertical="center"/>
    </xf>
    <xf numFmtId="165" fontId="17" fillId="9" borderId="0" xfId="0" applyNumberFormat="1" applyFont="1" applyFill="1" applyAlignment="1">
      <alignment horizontal="center" vertical="center"/>
    </xf>
    <xf numFmtId="166" fontId="17" fillId="9" borderId="27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16" fillId="0" borderId="28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165" fontId="1" fillId="0" borderId="25" xfId="0" applyNumberFormat="1" applyFont="1" applyBorder="1" applyAlignment="1">
      <alignment horizontal="center" vertical="center"/>
    </xf>
    <xf numFmtId="166" fontId="1" fillId="0" borderId="27" xfId="0" applyNumberFormat="1" applyFont="1" applyBorder="1" applyAlignment="1">
      <alignment horizontal="center" vertical="center"/>
    </xf>
    <xf numFmtId="165" fontId="1" fillId="0" borderId="26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6" fontId="1" fillId="0" borderId="26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10" borderId="0" xfId="0" applyFont="1" applyFill="1" applyAlignment="1">
      <alignment vertical="top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167" fontId="1" fillId="0" borderId="0" xfId="0" applyNumberFormat="1" applyFont="1" applyAlignment="1">
      <alignment vertical="top"/>
    </xf>
    <xf numFmtId="0" fontId="1" fillId="11" borderId="0" xfId="0" applyFont="1" applyFill="1" applyAlignment="1">
      <alignment vertical="top"/>
    </xf>
    <xf numFmtId="0" fontId="1" fillId="12" borderId="31" xfId="0" applyFont="1" applyFill="1" applyBorder="1" applyAlignment="1">
      <alignment vertical="top"/>
    </xf>
    <xf numFmtId="0" fontId="1" fillId="13" borderId="31" xfId="0" applyFont="1" applyFill="1" applyBorder="1" applyAlignment="1">
      <alignment horizontal="center" vertical="top"/>
    </xf>
    <xf numFmtId="166" fontId="1" fillId="13" borderId="0" xfId="0" applyNumberFormat="1" applyFont="1" applyFill="1" applyAlignment="1">
      <alignment horizontal="center" vertical="center"/>
    </xf>
    <xf numFmtId="0" fontId="1" fillId="13" borderId="29" xfId="0" applyFont="1" applyFill="1" applyBorder="1" applyAlignment="1">
      <alignment vertical="top"/>
    </xf>
    <xf numFmtId="0" fontId="1" fillId="14" borderId="31" xfId="0" applyFont="1" applyFill="1" applyBorder="1" applyAlignment="1">
      <alignment vertical="top"/>
    </xf>
    <xf numFmtId="0" fontId="1" fillId="0" borderId="31" xfId="0" applyFont="1" applyBorder="1" applyAlignment="1">
      <alignment horizontal="center" vertical="top"/>
    </xf>
    <xf numFmtId="166" fontId="1" fillId="0" borderId="0" xfId="0" applyNumberFormat="1" applyFont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32" xfId="0" applyFont="1" applyFill="1" applyBorder="1" applyAlignment="1">
      <alignment vertical="top"/>
    </xf>
    <xf numFmtId="0" fontId="1" fillId="0" borderId="32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19" fillId="0" borderId="0" xfId="0" applyFont="1" applyAlignment="1">
      <alignment vertical="top"/>
    </xf>
    <xf numFmtId="0" fontId="20" fillId="6" borderId="0" xfId="0" applyFont="1" applyFill="1" applyAlignment="1">
      <alignment vertical="top"/>
    </xf>
    <xf numFmtId="166" fontId="20" fillId="6" borderId="0" xfId="0" applyNumberFormat="1" applyFont="1" applyFill="1" applyAlignment="1">
      <alignment horizontal="left" vertical="top"/>
    </xf>
    <xf numFmtId="0" fontId="1" fillId="0" borderId="20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0" fontId="1" fillId="0" borderId="33" xfId="0" applyFont="1" applyBorder="1" applyAlignment="1">
      <alignment horizontal="right" vertical="top"/>
    </xf>
    <xf numFmtId="0" fontId="1" fillId="0" borderId="34" xfId="0" applyFont="1" applyBorder="1" applyAlignment="1">
      <alignment horizontal="left" vertical="top"/>
    </xf>
    <xf numFmtId="0" fontId="5" fillId="0" borderId="35" xfId="0" applyFont="1" applyBorder="1" applyAlignment="1">
      <alignment horizontal="center" vertical="top"/>
    </xf>
    <xf numFmtId="0" fontId="5" fillId="0" borderId="36" xfId="0" applyFont="1" applyBorder="1" applyAlignment="1">
      <alignment horizontal="center" vertical="top"/>
    </xf>
    <xf numFmtId="0" fontId="1" fillId="0" borderId="37" xfId="0" applyFont="1" applyBorder="1" applyAlignment="1">
      <alignment horizontal="left" vertical="top"/>
    </xf>
    <xf numFmtId="0" fontId="1" fillId="5" borderId="38" xfId="0" applyFont="1" applyFill="1" applyBorder="1" applyAlignment="1">
      <alignment horizontal="left" vertical="top"/>
    </xf>
    <xf numFmtId="0" fontId="1" fillId="0" borderId="38" xfId="0" applyFont="1" applyBorder="1" applyAlignment="1">
      <alignment horizontal="left" vertical="top"/>
    </xf>
    <xf numFmtId="0" fontId="1" fillId="0" borderId="39" xfId="0" applyFont="1" applyBorder="1" applyAlignment="1">
      <alignment horizontal="left" vertical="top"/>
    </xf>
    <xf numFmtId="0" fontId="1" fillId="0" borderId="40" xfId="0" applyFont="1" applyBorder="1" applyAlignment="1">
      <alignment horizontal="left" vertical="top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center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 applyAlignment="1">
      <alignment vertical="top"/>
    </xf>
    <xf numFmtId="0" fontId="5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left" vertical="top"/>
    </xf>
    <xf numFmtId="0" fontId="1" fillId="0" borderId="37" xfId="0" applyFont="1" applyBorder="1" applyAlignment="1">
      <alignment horizontal="left" vertical="center" wrapText="1"/>
    </xf>
    <xf numFmtId="0" fontId="1" fillId="0" borderId="38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top"/>
    </xf>
    <xf numFmtId="0" fontId="5" fillId="0" borderId="10" xfId="0" applyFont="1" applyBorder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18" fillId="0" borderId="20" xfId="0" applyFont="1" applyBorder="1" applyAlignment="1">
      <alignment horizontal="center" vertical="top"/>
    </xf>
    <xf numFmtId="0" fontId="18" fillId="0" borderId="21" xfId="0" applyFont="1" applyBorder="1" applyAlignment="1">
      <alignment horizontal="center" vertical="top"/>
    </xf>
    <xf numFmtId="0" fontId="18" fillId="0" borderId="22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vertical="top"/>
    </xf>
    <xf numFmtId="0" fontId="9" fillId="9" borderId="21" xfId="0" applyFont="1" applyFill="1" applyBorder="1" applyAlignment="1">
      <alignment horizontal="center" vertical="top"/>
    </xf>
    <xf numFmtId="0" fontId="9" fillId="9" borderId="22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 vertical="top"/>
    </xf>
    <xf numFmtId="0" fontId="8" fillId="4" borderId="0" xfId="0" applyFont="1" applyFill="1" applyAlignment="1">
      <alignment vertical="top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7" borderId="15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10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vertical="center" wrapText="1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top" wrapText="1"/>
    </xf>
    <xf numFmtId="0" fontId="15" fillId="0" borderId="26" xfId="0" applyFont="1" applyBorder="1" applyAlignment="1">
      <alignment vertical="top" wrapText="1"/>
    </xf>
    <xf numFmtId="0" fontId="1" fillId="8" borderId="16" xfId="0" applyFont="1" applyFill="1" applyBorder="1" applyAlignment="1">
      <alignment horizontal="center" vertical="top"/>
    </xf>
  </cellXfs>
  <cellStyles count="1">
    <cellStyle name="Normal" xfId="0" builtinId="0"/>
  </cellStyles>
  <dxfs count="134">
    <dxf>
      <font>
        <b/>
        <color rgb="FF0D0D0D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b/>
        <color rgb="FF0D0D0D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  <color rgb="FF0D0D0D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b/>
      </font>
      <fill>
        <patternFill patternType="solid">
          <fgColor rgb="FF9BDEB4"/>
          <bgColor rgb="FF9BDEB4"/>
        </patternFill>
      </fill>
    </dxf>
    <dxf>
      <font>
        <color rgb="FFFFFFFF"/>
      </font>
    </dxf>
    <dxf>
      <font>
        <b/>
        <color rgb="FF0D0D0D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1C40F"/>
      </font>
      <fill>
        <patternFill patternType="solid">
          <fgColor rgb="FFF1C40F"/>
          <bgColor rgb="FFF1C40F"/>
        </patternFill>
      </fill>
    </dxf>
    <dxf>
      <font>
        <color rgb="FFFFC000"/>
      </font>
      <fill>
        <patternFill patternType="solid">
          <fgColor rgb="FFFFC000"/>
          <bgColor rgb="FFFFC000"/>
        </patternFill>
      </fill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084F6A"/>
      </font>
      <fill>
        <patternFill patternType="solid">
          <fgColor rgb="FF084F6A"/>
          <bgColor rgb="FF084F6A"/>
        </patternFill>
      </fill>
    </dxf>
    <dxf>
      <font>
        <color theme="8" tint="-0.499984740745262"/>
      </font>
    </dxf>
    <dxf>
      <font>
        <color theme="8" tint="-0.499984740745262"/>
      </font>
    </dxf>
    <dxf>
      <font>
        <color theme="8" tint="-0.499984740745262"/>
      </font>
    </dxf>
    <dxf>
      <font>
        <color rgb="FF084F6A"/>
      </font>
      <fill>
        <patternFill patternType="solid">
          <fgColor rgb="FF084F6A"/>
          <bgColor rgb="FF084F6A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084F6A"/>
      </font>
      <fill>
        <patternFill patternType="solid">
          <fgColor rgb="FF084F6A"/>
          <bgColor rgb="FF084F6A"/>
        </patternFill>
      </fill>
    </dxf>
    <dxf>
      <font>
        <color theme="8" tint="-0.249977111117893"/>
      </font>
      <fill>
        <patternFill patternType="solid">
          <fgColor rgb="FFFFFFFF"/>
          <bgColor rgb="FFFFFFFF"/>
        </patternFill>
      </fill>
    </dxf>
    <dxf>
      <font>
        <color rgb="FF084F6A"/>
      </font>
      <fill>
        <patternFill patternType="solid">
          <fgColor rgb="FF084F6A"/>
          <bgColor rgb="FF084F6A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084F6A"/>
      </font>
      <fill>
        <patternFill patternType="solid">
          <fgColor rgb="FF084F6A"/>
          <bgColor rgb="FF084F6A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b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b/>
        <color rgb="FF0D0D0D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mruColors>
      <color rgb="FFC9E3F8"/>
      <color rgb="FFF1F0FF"/>
      <color rgb="FFE4D8DD"/>
      <color rgb="FFF9E6F0"/>
      <color rgb="FFECE4F5"/>
      <color rgb="FFFFF0F8"/>
      <color rgb="FFF7F0FF"/>
      <color rgb="FFFFEDF7"/>
      <color rgb="FFDED7E5"/>
      <color rgb="FFDAEC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 /><Relationship Id="rId3" Type="http://schemas.openxmlformats.org/officeDocument/2006/relationships/theme" Target="theme/theme1.xml" /><Relationship Id="rId7" Type="http://schemas.microsoft.com/office/2017/06/relationships/rdRichValue" Target="richData/rdrichvalue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10" Type="http://schemas.openxmlformats.org/officeDocument/2006/relationships/calcChain" Target="calcChain.xml" /><Relationship Id="rId4" Type="http://schemas.openxmlformats.org/officeDocument/2006/relationships/styles" Target="styles.xml" /><Relationship Id="rId9" Type="http://schemas.microsoft.com/office/2017/06/relationships/rdRichValueTypes" Target="richData/rdRichValueTypes.xml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0961-50EA-47EF-BE81-7C8B1E6F18C4}">
  <sheetPr>
    <tabColor rgb="FF00B0F0"/>
  </sheetPr>
  <dimension ref="A1:U35"/>
  <sheetViews>
    <sheetView topLeftCell="E1" zoomScaleNormal="80" zoomScaleSheetLayoutView="100" workbookViewId="0">
      <selection activeCell="C8" sqref="C8"/>
    </sheetView>
  </sheetViews>
  <sheetFormatPr defaultRowHeight="14.1" customHeight="1" x14ac:dyDescent="0.2"/>
  <cols>
    <col min="1" max="1" width="2.6875" style="1" customWidth="1"/>
    <col min="2" max="2" width="25.828125" style="1" bestFit="1" customWidth="1"/>
    <col min="3" max="3" width="9.14453125" style="2" bestFit="1" customWidth="1"/>
    <col min="4" max="4" width="9.14453125" style="1" bestFit="1" customWidth="1"/>
    <col min="5" max="5" width="35.51171875" style="2" bestFit="1" customWidth="1"/>
    <col min="6" max="6" width="30.265625" style="2" bestFit="1" customWidth="1"/>
    <col min="7" max="7" width="7.26171875" style="1" customWidth="1"/>
    <col min="8" max="15" width="0" style="3" hidden="1" customWidth="1"/>
    <col min="16" max="16" width="0" style="1" hidden="1" customWidth="1"/>
    <col min="17" max="17" width="0" style="3" hidden="1" customWidth="1"/>
    <col min="18" max="18" width="0" style="1" hidden="1" customWidth="1"/>
    <col min="19" max="19" width="27.3046875" style="1" bestFit="1" customWidth="1"/>
    <col min="20" max="16384" width="8.609375" style="1"/>
  </cols>
  <sheetData>
    <row r="1" spans="1:21" ht="15" x14ac:dyDescent="0.2">
      <c r="A1" s="6"/>
      <c r="B1" s="5"/>
      <c r="C1" s="7"/>
      <c r="D1" s="5"/>
      <c r="E1" s="7"/>
      <c r="F1" s="7"/>
      <c r="G1" s="5"/>
      <c r="H1" s="3" t="s">
        <v>0</v>
      </c>
      <c r="I1" s="3" t="e">
        <f>#REF!-#REF!</f>
        <v>#REF!</v>
      </c>
      <c r="J1" s="3" t="e">
        <f>CONCATENATE(K1," gr. de ",#REF!)</f>
        <v>#REF!</v>
      </c>
      <c r="K1" s="3" t="e">
        <f>I1/2</f>
        <v>#REF!</v>
      </c>
      <c r="S1" s="1" t="s">
        <v>141</v>
      </c>
    </row>
    <row r="2" spans="1:21" ht="19.5" customHeight="1" x14ac:dyDescent="0.2">
      <c r="A2" s="4"/>
      <c r="B2" s="94" t="s">
        <v>1</v>
      </c>
      <c r="C2" s="95"/>
      <c r="D2" s="96"/>
      <c r="E2" s="95"/>
      <c r="F2" s="95"/>
      <c r="G2" s="5"/>
      <c r="S2" s="1" t="s">
        <v>142</v>
      </c>
    </row>
    <row r="3" spans="1:21" ht="15.75" thickBot="1" x14ac:dyDescent="0.25">
      <c r="A3" s="6"/>
      <c r="B3" s="5"/>
      <c r="C3" s="7"/>
      <c r="D3" s="5"/>
      <c r="E3" s="7"/>
      <c r="F3" s="7"/>
      <c r="G3" s="5"/>
      <c r="H3" s="8"/>
    </row>
    <row r="4" spans="1:21" ht="15.75" thickTop="1" x14ac:dyDescent="0.2">
      <c r="A4" s="6"/>
      <c r="B4" s="9" t="s">
        <v>2</v>
      </c>
      <c r="C4" s="10">
        <v>3500</v>
      </c>
      <c r="D4" s="5"/>
      <c r="E4" s="23" t="s">
        <v>3</v>
      </c>
      <c r="F4" s="11" t="s">
        <v>4</v>
      </c>
      <c r="G4" s="5"/>
      <c r="H4" s="8" t="s">
        <v>5</v>
      </c>
      <c r="J4" s="3" t="s">
        <v>6</v>
      </c>
      <c r="K4" s="3">
        <f>C4*12%</f>
        <v>420</v>
      </c>
      <c r="L4" s="3">
        <f>K4/2</f>
        <v>210</v>
      </c>
      <c r="M4" s="3" t="s">
        <v>7</v>
      </c>
      <c r="N4" s="3" t="str">
        <f>CONCATENATE(L4,M4)</f>
        <v>210gr.</v>
      </c>
      <c r="O4" s="3" t="s">
        <v>8</v>
      </c>
      <c r="P4" s="1" t="str">
        <f>CONCATENATE(N4,O4,H18)</f>
        <v>210gr. de Fruta</v>
      </c>
      <c r="S4" s="1" t="s">
        <v>147</v>
      </c>
    </row>
    <row r="5" spans="1:21" ht="15.75" thickBot="1" x14ac:dyDescent="0.25">
      <c r="A5" s="6"/>
      <c r="B5" s="5"/>
      <c r="C5" s="7"/>
      <c r="D5" s="5"/>
      <c r="E5" s="80" t="s">
        <v>9</v>
      </c>
      <c r="F5" s="81" t="str">
        <f>K25</f>
        <v>525ml</v>
      </c>
      <c r="G5" s="5"/>
      <c r="H5" s="3" t="s">
        <v>10</v>
      </c>
      <c r="J5" s="3" t="s">
        <v>11</v>
      </c>
      <c r="K5" s="3">
        <f>C4*10%</f>
        <v>350</v>
      </c>
      <c r="L5" s="3">
        <f>K5/2</f>
        <v>175</v>
      </c>
      <c r="M5" s="3" t="s">
        <v>7</v>
      </c>
      <c r="N5" s="3" t="str">
        <f>CONCATENATE(L5,M5)</f>
        <v>175gr.</v>
      </c>
      <c r="O5" s="3" t="s">
        <v>8</v>
      </c>
      <c r="P5" s="3" t="str">
        <f>CONCATENATE(N5,O5,H19)</f>
        <v>175gr. de Chocolate Especial</v>
      </c>
    </row>
    <row r="6" spans="1:21" ht="15.75" thickTop="1" x14ac:dyDescent="0.2">
      <c r="A6" s="12"/>
      <c r="B6" s="97" t="s">
        <v>12</v>
      </c>
      <c r="C6" s="98"/>
      <c r="D6" s="5"/>
      <c r="E6" s="82" t="s">
        <v>15</v>
      </c>
      <c r="F6" s="83"/>
      <c r="G6" s="5"/>
      <c r="H6" s="3" t="s">
        <v>13</v>
      </c>
      <c r="U6" s="3"/>
    </row>
    <row r="7" spans="1:21" ht="15" x14ac:dyDescent="0.2">
      <c r="A7" s="6"/>
      <c r="B7" s="13" t="s">
        <v>14</v>
      </c>
      <c r="C7" s="14">
        <f>C4*40%</f>
        <v>1400</v>
      </c>
      <c r="D7" s="5"/>
      <c r="E7" s="84" t="s">
        <v>18</v>
      </c>
      <c r="F7" s="85" t="s">
        <v>5</v>
      </c>
      <c r="G7" s="5"/>
      <c r="H7" s="3" t="s">
        <v>16</v>
      </c>
      <c r="U7" s="3"/>
    </row>
    <row r="8" spans="1:21" ht="15.75" thickBot="1" x14ac:dyDescent="0.25">
      <c r="A8" s="6"/>
      <c r="B8" s="15" t="s">
        <v>17</v>
      </c>
      <c r="C8" s="16">
        <v>1030</v>
      </c>
      <c r="D8" s="5"/>
      <c r="E8" s="84" t="str">
        <f>IF(F7=H5,H13,"")</f>
        <v/>
      </c>
      <c r="F8" s="85" t="s">
        <v>13</v>
      </c>
      <c r="G8" s="5"/>
      <c r="H8" s="3" t="str">
        <f>C10</f>
        <v>370gr.</v>
      </c>
      <c r="U8" s="3"/>
    </row>
    <row r="9" spans="1:21" ht="15.75" thickTop="1" x14ac:dyDescent="0.2">
      <c r="A9" s="6"/>
      <c r="B9" s="5"/>
      <c r="C9" s="7"/>
      <c r="D9" s="5"/>
      <c r="E9" s="99" t="str">
        <f>IF(C8&gt;0,H12,H10)</f>
        <v>Recheio Necessário Total + Compensação</v>
      </c>
      <c r="F9" s="100">
        <f>IFERROR(IF(I28&gt;0,H9+I28+I26,H9),"Aguardando Info. Massa Disponível")</f>
        <v>1558.75</v>
      </c>
      <c r="G9" s="5"/>
      <c r="H9" s="3">
        <f>C4*30%</f>
        <v>1050</v>
      </c>
      <c r="U9" s="3"/>
    </row>
    <row r="10" spans="1:21" ht="15" x14ac:dyDescent="0.2">
      <c r="A10" s="6"/>
      <c r="B10" s="3" t="s">
        <v>19</v>
      </c>
      <c r="C10" s="2" t="str">
        <f>K28</f>
        <v>370gr.</v>
      </c>
      <c r="D10" s="5"/>
      <c r="E10" s="99"/>
      <c r="F10" s="100"/>
      <c r="G10" s="5"/>
      <c r="H10" s="3" t="s">
        <v>20</v>
      </c>
      <c r="U10" s="3"/>
    </row>
    <row r="11" spans="1:21" ht="15" x14ac:dyDescent="0.2">
      <c r="A11" s="6"/>
      <c r="B11" s="3" t="s">
        <v>21</v>
      </c>
      <c r="C11" s="2" t="str">
        <f>IF(C8="","",K26)</f>
        <v>138,75ml</v>
      </c>
      <c r="D11" s="5"/>
      <c r="E11" s="84" t="str">
        <f>IF(F7=H4,"","Quantidade total Ninho/Brigadeiro:")</f>
        <v/>
      </c>
      <c r="F11" s="86" t="str" cm="1">
        <f t="array" ref="F11">_xlfn.IFS(F7=H4,"",F8=H7,P22,F8=H6,O22)</f>
        <v/>
      </c>
      <c r="G11" s="5"/>
      <c r="H11" s="3" t="s">
        <v>22</v>
      </c>
      <c r="U11" s="3"/>
    </row>
    <row r="12" spans="1:21" ht="15.75" thickBot="1" x14ac:dyDescent="0.25">
      <c r="A12" s="6"/>
      <c r="B12" s="5"/>
      <c r="C12" s="7"/>
      <c r="D12" s="5"/>
      <c r="E12" s="87" t="str">
        <f>_xlfn.IFS(F7=H4,"",F8=H6,J20,F8=H7,J21)</f>
        <v/>
      </c>
      <c r="F12" s="88" t="str">
        <f>_xlfn.IFS(F7=H4,"",F8=H6,J18,F8=H7,J19)</f>
        <v/>
      </c>
      <c r="G12" s="5"/>
      <c r="H12" s="3" t="str">
        <f>CONCATENATE(H10,H11)</f>
        <v>Recheio Necessário Total + Compensação</v>
      </c>
    </row>
    <row r="13" spans="1:21" ht="16.5" customHeight="1" thickTop="1" thickBot="1" x14ac:dyDescent="0.25">
      <c r="A13" s="12"/>
      <c r="B13" s="101" t="s">
        <v>23</v>
      </c>
      <c r="C13" s="102"/>
      <c r="D13" s="5"/>
      <c r="E13" s="7"/>
      <c r="F13" s="7"/>
      <c r="G13" s="5"/>
      <c r="H13" s="3" t="s">
        <v>24</v>
      </c>
    </row>
    <row r="14" spans="1:21" ht="15" x14ac:dyDescent="0.2">
      <c r="A14" s="6"/>
      <c r="B14" s="17" t="s">
        <v>25</v>
      </c>
      <c r="C14" s="18" t="str">
        <f>K23</f>
        <v>386,25ml</v>
      </c>
      <c r="D14" s="5"/>
      <c r="E14" s="89" t="s">
        <v>26</v>
      </c>
      <c r="F14" s="90">
        <f>IFERROR(_xlfn.IFS(F7=H4,I14,F8=H6,J16,F8=H7,J17),"Aguardando Info. Massa Disponível")</f>
        <v>779.375</v>
      </c>
      <c r="G14" s="5"/>
      <c r="H14" s="3" t="s">
        <v>27</v>
      </c>
      <c r="I14" s="3">
        <f>F9/2</f>
        <v>779.375</v>
      </c>
    </row>
    <row r="15" spans="1:21" ht="15.75" thickBot="1" x14ac:dyDescent="0.25">
      <c r="A15" s="6"/>
      <c r="B15" s="19" t="s">
        <v>28</v>
      </c>
      <c r="C15" s="20" t="str">
        <f>K24</f>
        <v>128,75ml</v>
      </c>
      <c r="D15" s="5"/>
      <c r="E15" s="87" t="str">
        <f>_xlfn.IFS(F7=H4,"",F7=H5,E14)</f>
        <v/>
      </c>
      <c r="F15" s="88" t="str">
        <f>_xlfn.IFS(F7=H4,"",F8=H6,P4,F8=H7,P5)</f>
        <v/>
      </c>
      <c r="G15" s="5"/>
      <c r="H15" s="3" t="s">
        <v>29</v>
      </c>
    </row>
    <row r="16" spans="1:21" ht="15.75" thickTop="1" x14ac:dyDescent="0.2">
      <c r="A16" s="6"/>
      <c r="B16" s="5"/>
      <c r="C16" s="7"/>
      <c r="D16" s="5"/>
      <c r="E16" s="7"/>
      <c r="F16" s="7"/>
      <c r="G16" s="5"/>
      <c r="H16" s="3" t="s">
        <v>0</v>
      </c>
      <c r="I16" s="3">
        <f>F9-K4</f>
        <v>1138.75</v>
      </c>
      <c r="J16" s="3" t="str">
        <f>CONCATENATE(K16," gr. de ",H15)</f>
        <v>569,375 gr. de Ninho / Brigadeiro</v>
      </c>
      <c r="K16" s="3">
        <f>I16/2</f>
        <v>569.375</v>
      </c>
    </row>
    <row r="17" spans="1:16" ht="15" x14ac:dyDescent="0.2">
      <c r="A17" s="3"/>
      <c r="B17" s="3"/>
      <c r="D17" s="3"/>
      <c r="H17" s="3" t="s">
        <v>30</v>
      </c>
      <c r="I17" s="3">
        <f>F9-K5</f>
        <v>1208.75</v>
      </c>
      <c r="J17" s="3" t="str">
        <f>CONCATENATE(K17," gr. de ",H15)</f>
        <v>604,375 gr. de Ninho / Brigadeiro</v>
      </c>
      <c r="K17" s="3">
        <f>I17/2</f>
        <v>604.375</v>
      </c>
    </row>
    <row r="18" spans="1:16" ht="15" x14ac:dyDescent="0.2">
      <c r="A18" s="3"/>
      <c r="F18" s="103">
        <v>620</v>
      </c>
      <c r="H18" s="3" t="s">
        <v>31</v>
      </c>
      <c r="J18" s="3" t="str">
        <f>CONCATENATE(K4," gr. de ",H18)</f>
        <v>420 gr. de Fruta</v>
      </c>
    </row>
    <row r="19" spans="1:16" ht="15" x14ac:dyDescent="0.2">
      <c r="A19" s="3"/>
      <c r="F19" s="103"/>
      <c r="H19" s="3" t="s">
        <v>16</v>
      </c>
      <c r="J19" s="3" t="str">
        <f>CONCATENATE(K5," gr. de ",H19)</f>
        <v>350 gr. de Chocolate Especial</v>
      </c>
    </row>
    <row r="20" spans="1:16" ht="40.5" x14ac:dyDescent="0.2">
      <c r="A20" s="3"/>
      <c r="F20" s="2" t="str">
        <f>LEFT(F12,3)</f>
        <v/>
      </c>
      <c r="H20" s="91" t="s">
        <v>143</v>
      </c>
      <c r="J20" s="3" t="str">
        <f>CONCATENATE(H20,H18,":")</f>
        <v>Quantidade total de Fruta:</v>
      </c>
    </row>
    <row r="21" spans="1:16" ht="27.75" x14ac:dyDescent="0.2">
      <c r="A21" s="3"/>
      <c r="F21" s="2" t="str">
        <f>LEFT(F14,3)</f>
        <v>779</v>
      </c>
      <c r="J21" s="3" t="str">
        <f>CONCATENATE(H20,H19,":")</f>
        <v>Quantidade total de Chocolate Especial:</v>
      </c>
      <c r="O21" s="3" t="s">
        <v>144</v>
      </c>
      <c r="P21" s="92" t="s">
        <v>145</v>
      </c>
    </row>
    <row r="22" spans="1:16" ht="15" x14ac:dyDescent="0.2">
      <c r="A22" s="3"/>
      <c r="F22" s="2" t="str">
        <f>LEFT(F15,3)</f>
        <v/>
      </c>
      <c r="H22" s="3" t="s">
        <v>146</v>
      </c>
      <c r="O22" s="3">
        <f>F9-K4</f>
        <v>1138.75</v>
      </c>
      <c r="P22" s="1">
        <f>I17</f>
        <v>1208.75</v>
      </c>
    </row>
    <row r="23" spans="1:16" ht="15" x14ac:dyDescent="0.2">
      <c r="A23" s="3"/>
      <c r="H23" s="3" t="s">
        <v>25</v>
      </c>
      <c r="I23" s="3">
        <f>IF(C8&gt;0,C8*37.5%,C4*15%)</f>
        <v>386.25</v>
      </c>
      <c r="J23" s="3" t="s">
        <v>32</v>
      </c>
      <c r="K23" s="3" t="str">
        <f>CONCATENATE(I23,J23)</f>
        <v>386,25ml</v>
      </c>
    </row>
    <row r="24" spans="1:16" ht="15" x14ac:dyDescent="0.2">
      <c r="A24" s="3"/>
      <c r="I24" s="3">
        <f>I23/3</f>
        <v>128.75</v>
      </c>
      <c r="J24" s="3" t="s">
        <v>32</v>
      </c>
      <c r="K24" s="3" t="str">
        <f>CONCATENATE(I24,J24)</f>
        <v>128,75ml</v>
      </c>
    </row>
    <row r="25" spans="1:16" ht="15" x14ac:dyDescent="0.2">
      <c r="A25" s="3"/>
      <c r="I25" s="3">
        <f>C4*15%</f>
        <v>525</v>
      </c>
      <c r="J25" s="3" t="s">
        <v>32</v>
      </c>
      <c r="K25" s="3" t="str">
        <f>CONCATENATE(I25,J25)</f>
        <v>525ml</v>
      </c>
    </row>
    <row r="26" spans="1:16" ht="15" x14ac:dyDescent="0.2">
      <c r="B26" s="3"/>
      <c r="D26" s="3"/>
      <c r="E26" s="3"/>
      <c r="I26" s="3">
        <f>I25-I23</f>
        <v>138.75</v>
      </c>
      <c r="J26" s="3" t="s">
        <v>32</v>
      </c>
      <c r="K26" s="3" t="str">
        <f>CONCATENATE(I26,J26)</f>
        <v>138,75ml</v>
      </c>
    </row>
    <row r="27" spans="1:16" ht="15" x14ac:dyDescent="0.2">
      <c r="A27" s="3"/>
      <c r="B27" s="3"/>
      <c r="C27" s="3"/>
      <c r="D27" s="3"/>
      <c r="E27" s="3"/>
      <c r="I27" s="3" t="e">
        <f>IF(C8&gt;0,H9+C10,H9)</f>
        <v>#VALUE!</v>
      </c>
      <c r="J27" s="3" t="s">
        <v>7</v>
      </c>
      <c r="K27" s="3" t="e">
        <f>CONCATENATE(I27,J27)</f>
        <v>#VALUE!</v>
      </c>
    </row>
    <row r="28" spans="1:16" ht="15" x14ac:dyDescent="0.2">
      <c r="A28" s="3"/>
      <c r="B28" s="3" t="s">
        <v>33</v>
      </c>
      <c r="C28" s="2">
        <f>C4</f>
        <v>3500</v>
      </c>
      <c r="D28" s="3"/>
      <c r="E28" s="93" t="e" cm="1" vm="1">
        <f t="array" aca="1" ref="E28" ca="1">E9:E10</f>
        <v>#VALUE!</v>
      </c>
      <c r="I28" s="21">
        <f>IF(C8="","",C7-C8)</f>
        <v>370</v>
      </c>
      <c r="J28" s="3" t="s">
        <v>7</v>
      </c>
      <c r="K28" s="3" t="str">
        <f>CONCATENATE(I28,J28)</f>
        <v>370gr.</v>
      </c>
    </row>
    <row r="29" spans="1:16" ht="15" x14ac:dyDescent="0.2">
      <c r="B29" s="3" t="s">
        <v>34</v>
      </c>
      <c r="C29" s="2">
        <f>C8</f>
        <v>1030</v>
      </c>
      <c r="D29" s="3"/>
      <c r="E29" s="93"/>
    </row>
    <row r="30" spans="1:16" ht="15" x14ac:dyDescent="0.2">
      <c r="B30" s="3"/>
      <c r="C30" s="3"/>
      <c r="D30" s="3"/>
      <c r="E30" s="3" t="str">
        <f>E12</f>
        <v/>
      </c>
    </row>
    <row r="31" spans="1:16" ht="15" x14ac:dyDescent="0.2">
      <c r="B31" s="22" t="s">
        <v>35</v>
      </c>
      <c r="C31" s="2">
        <v>75</v>
      </c>
      <c r="D31" s="3"/>
      <c r="E31" s="3" t="str">
        <f>E14</f>
        <v>Repartição em 2 Camadas:</v>
      </c>
    </row>
    <row r="32" spans="1:16" ht="15" x14ac:dyDescent="0.2">
      <c r="B32" s="17" t="s">
        <v>28</v>
      </c>
      <c r="C32" s="2">
        <f>C31/3</f>
        <v>25</v>
      </c>
      <c r="D32" s="3"/>
      <c r="E32" s="3" t="str">
        <f>E15</f>
        <v/>
      </c>
    </row>
    <row r="33" spans="2:5" ht="15" x14ac:dyDescent="0.2">
      <c r="B33" s="3" t="s">
        <v>36</v>
      </c>
      <c r="C33" s="3"/>
      <c r="D33" s="3"/>
      <c r="E33" s="3"/>
    </row>
    <row r="34" spans="2:5" ht="15" x14ac:dyDescent="0.2">
      <c r="B34" s="3" t="s">
        <v>37</v>
      </c>
      <c r="C34" s="2" t="str">
        <f>LEFT(F5,3)</f>
        <v>525</v>
      </c>
      <c r="D34" s="3"/>
      <c r="E34" s="3"/>
    </row>
    <row r="35" spans="2:5" ht="15" x14ac:dyDescent="0.2">
      <c r="B35" s="3"/>
      <c r="D35" s="3"/>
      <c r="E35" s="3"/>
    </row>
  </sheetData>
  <sheetProtection formatCells="0" formatColumns="0" formatRows="0" insertColumns="0" insertRows="0" insertHyperlinks="0" deleteColumns="0" deleteRows="0" sort="0" autoFilter="0" pivotTables="0"/>
  <protectedRanges>
    <protectedRange sqref="F7" name="Range1"/>
    <protectedRange sqref="F4" name="Range2"/>
    <protectedRange sqref="C4" name="Range3"/>
    <protectedRange sqref="C8" name="Range4"/>
    <protectedRange sqref="F8" name="Range5"/>
    <protectedRange algorithmName="SHA-512" hashValue="btBDHNzvSz+0exG2LpDblr0PPn6zEkf8pufbT+1Jz1YSXYAb49HQJtSDU8PvOjN7H4+a2hwVDuLXvXzC9G2sVg==" saltValue="eAqwr3D20uewlFqQ/fRsGQ==" spinCount="100000" sqref="C7" name="Range6"/>
  </protectedRanges>
  <mergeCells count="7">
    <mergeCell ref="E28:E29"/>
    <mergeCell ref="B2:F2"/>
    <mergeCell ref="B6:C6"/>
    <mergeCell ref="E9:E10"/>
    <mergeCell ref="F9:F10"/>
    <mergeCell ref="B13:C13"/>
    <mergeCell ref="F18:F19"/>
  </mergeCells>
  <conditionalFormatting sqref="F8">
    <cfRule type="expression" dxfId="133" priority="1">
      <formula>F7=H4</formula>
    </cfRule>
  </conditionalFormatting>
  <dataValidations count="2">
    <dataValidation type="list" allowBlank="1" showInputMessage="1" showErrorMessage="1" error="Escolher opções disponíveis de Recheio" prompt="Inserir um item da lista fornecida." sqref="F8" xr:uid="{24BA9992-2EB0-48EA-A595-F26BAC7EB143}">
      <formula1>$H$6:$H$7</formula1>
    </dataValidation>
    <dataValidation type="list" showInputMessage="1" showErrorMessage="1" error="The entered value violates the data validation rules set on the cell." prompt="Inserir uma opção de Categoria de Recheios" sqref="F7" xr:uid="{DCCBC678-AAB4-4AC6-8887-06F99E440244}">
      <formula1>$H$4:$H$5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CF1C-0499-4BD8-9363-B6303DBAB877}">
  <sheetPr>
    <tabColor rgb="FF875100"/>
  </sheetPr>
  <dimension ref="A1:AP115"/>
  <sheetViews>
    <sheetView tabSelected="1" defaultGridColor="0" colorId="9" workbookViewId="0">
      <selection activeCell="D4" sqref="D4"/>
    </sheetView>
  </sheetViews>
  <sheetFormatPr defaultColWidth="9.14453125" defaultRowHeight="14.1" customHeight="1" x14ac:dyDescent="0.2"/>
  <cols>
    <col min="1" max="1" width="3.359375" style="1" customWidth="1"/>
    <col min="2" max="5" width="19.50390625" style="1" customWidth="1"/>
    <col min="6" max="6" width="12.375" style="1" customWidth="1"/>
    <col min="7" max="7" width="3.359375" style="1" customWidth="1"/>
    <col min="8" max="8" width="27.7109375" style="1" hidden="1" customWidth="1"/>
    <col min="9" max="42" width="9.14453125" style="1" hidden="1" customWidth="1"/>
    <col min="43" max="49" width="0" style="1" hidden="1" customWidth="1"/>
    <col min="50" max="16384" width="9.14453125" style="1"/>
  </cols>
  <sheetData>
    <row r="1" spans="1:36" ht="14.1" customHeight="1" x14ac:dyDescent="0.2">
      <c r="A1" s="24"/>
      <c r="B1" s="24"/>
      <c r="C1" s="24"/>
      <c r="D1" s="24"/>
      <c r="E1" s="24"/>
      <c r="F1" s="24"/>
      <c r="G1" s="24"/>
      <c r="H1" s="3" t="s">
        <v>38</v>
      </c>
      <c r="I1" s="3" t="e">
        <f>#REF!+#REF!</f>
        <v>#REF!</v>
      </c>
      <c r="AA1" s="3" t="s">
        <v>39</v>
      </c>
      <c r="AB1" s="3">
        <v>6</v>
      </c>
      <c r="AC1" s="3">
        <v>12</v>
      </c>
      <c r="AD1" s="3">
        <f t="shared" ref="AD1" si="0">AC1-AB1</f>
        <v>6</v>
      </c>
      <c r="AE1" s="3">
        <f t="shared" ref="AE1" si="1">AD1/I$36</f>
        <v>7.801326225458328</v>
      </c>
      <c r="AF1" s="3" t="e">
        <f t="shared" ref="AF1" si="2">AD1*#REF!</f>
        <v>#REF!</v>
      </c>
    </row>
    <row r="2" spans="1:36" ht="21" customHeight="1" x14ac:dyDescent="0.2">
      <c r="A2" s="24"/>
      <c r="B2" s="117" t="s">
        <v>40</v>
      </c>
      <c r="C2" s="118"/>
      <c r="D2" s="118"/>
      <c r="E2" s="118"/>
      <c r="F2" s="118"/>
      <c r="G2" s="24"/>
      <c r="H2" s="3" t="s">
        <v>41</v>
      </c>
      <c r="T2" s="3" t="s">
        <v>42</v>
      </c>
      <c r="U2" s="3" t="s">
        <v>43</v>
      </c>
      <c r="V2" s="3" t="s">
        <v>44</v>
      </c>
      <c r="X2" s="3" t="s">
        <v>45</v>
      </c>
    </row>
    <row r="3" spans="1:36" ht="17.25" customHeight="1" x14ac:dyDescent="0.2">
      <c r="A3" s="24"/>
      <c r="B3" s="119" t="s">
        <v>46</v>
      </c>
      <c r="C3" s="120"/>
      <c r="D3" s="120"/>
      <c r="E3" s="121" t="s">
        <v>47</v>
      </c>
      <c r="F3" s="122"/>
      <c r="G3" s="24"/>
      <c r="I3" s="3"/>
    </row>
    <row r="4" spans="1:36" ht="17.25" customHeight="1" x14ac:dyDescent="0.2">
      <c r="A4" s="24"/>
      <c r="B4" s="123" t="str">
        <f>IF(E3="Recheios para Bolos","Quantidade em Gramas necessário (Valor pós cozimento):","Peso Bolo Final em Gramas:")</f>
        <v>Quantidade em Gramas necessário (Valor pós cozimento):</v>
      </c>
      <c r="C4" s="124"/>
      <c r="D4" s="25">
        <v>317</v>
      </c>
      <c r="E4" s="125" t="s">
        <v>48</v>
      </c>
      <c r="F4" s="126"/>
      <c r="G4" s="24"/>
      <c r="H4" s="3" t="s">
        <v>49</v>
      </c>
      <c r="I4" s="3">
        <v>395</v>
      </c>
      <c r="AJ4" s="3">
        <f>D4/6.66666</f>
        <v>47.550047550047552</v>
      </c>
    </row>
    <row r="5" spans="1:36" ht="17.25" customHeight="1" x14ac:dyDescent="0.2">
      <c r="A5" s="24"/>
      <c r="B5" s="127" t="s">
        <v>50</v>
      </c>
      <c r="C5" s="128"/>
      <c r="D5" s="26">
        <v>30</v>
      </c>
      <c r="E5" s="129" t="str">
        <f>_xlfn.IFS(E3="Brigadeiros","32,18% Massa Branca",E3="Recheios para Bolos","20%",E3="Geléia de Morango","40%")</f>
        <v>20%</v>
      </c>
      <c r="F5" s="130"/>
      <c r="G5" s="24"/>
      <c r="H5" s="3" t="s">
        <v>51</v>
      </c>
      <c r="I5" s="3">
        <v>200</v>
      </c>
    </row>
    <row r="6" spans="1:36" ht="17.25" customHeight="1" x14ac:dyDescent="0.2">
      <c r="A6" s="24"/>
      <c r="B6" s="131" t="str">
        <f>IF(E3="Geléia de Morango","Quantidade necessario em gramas:","Quantidade em Gramas necessário (Valor pré cozimento):")</f>
        <v>Quantidade em Gramas necessário (Valor pré cozimento):</v>
      </c>
      <c r="C6" s="132"/>
      <c r="D6" s="27">
        <f>IF(E3="Geléia de Morango",AJ4,D38+D39)</f>
        <v>2707.6613899362887</v>
      </c>
      <c r="E6" s="129" t="str">
        <f>IF(E3="Brigadeiros","23,1% Massa Preta"," ")</f>
        <v xml:space="preserve"> </v>
      </c>
      <c r="F6" s="130"/>
      <c r="G6" s="24"/>
      <c r="J6" s="3"/>
      <c r="K6" s="3"/>
      <c r="L6" s="3"/>
      <c r="M6" s="3"/>
    </row>
    <row r="7" spans="1:36" ht="15.95" customHeight="1" x14ac:dyDescent="0.2">
      <c r="A7" s="24"/>
      <c r="B7" s="133" t="str">
        <f>IF(E3="Geléia de Morango","Quantidade em gramas dividido por 2 camadas:"," ")</f>
        <v xml:space="preserve"> </v>
      </c>
      <c r="C7" s="133"/>
      <c r="D7" s="28" t="str">
        <f>IF(E3="Geléia de Morango",D6/2," ")</f>
        <v xml:space="preserve"> </v>
      </c>
      <c r="E7" s="29"/>
      <c r="F7" s="24"/>
      <c r="G7" s="24"/>
      <c r="J7" s="3"/>
      <c r="K7" s="3" t="s">
        <v>52</v>
      </c>
      <c r="L7" s="3" t="s">
        <v>53</v>
      </c>
      <c r="M7" s="3" t="s">
        <v>54</v>
      </c>
      <c r="N7" s="3" t="s">
        <v>55</v>
      </c>
      <c r="O7" s="3" t="s">
        <v>56</v>
      </c>
      <c r="P7" s="3" t="s">
        <v>57</v>
      </c>
      <c r="AJ7" s="9"/>
    </row>
    <row r="8" spans="1:36" ht="17.25" customHeight="1" x14ac:dyDescent="0.2">
      <c r="A8" s="24"/>
      <c r="B8" s="114" t="s">
        <v>58</v>
      </c>
      <c r="C8" s="115"/>
      <c r="D8" s="115"/>
      <c r="E8" s="116"/>
      <c r="F8" s="24"/>
      <c r="G8" s="24"/>
      <c r="H8" s="3" t="s">
        <v>59</v>
      </c>
      <c r="I8" s="3">
        <v>65</v>
      </c>
      <c r="J8" s="3" t="s">
        <v>60</v>
      </c>
      <c r="K8" s="3">
        <f>Q8*I8%</f>
        <v>1690.2873488493044</v>
      </c>
      <c r="L8" s="3">
        <f>Q9*I8%</f>
        <v>247.26</v>
      </c>
      <c r="M8" s="104">
        <f>D13+B13</f>
        <v>391.81199999999995</v>
      </c>
      <c r="N8" s="3" t="s">
        <v>61</v>
      </c>
      <c r="O8" s="3">
        <v>28</v>
      </c>
      <c r="P8" s="3">
        <f>AC30*O8%</f>
        <v>728.1237810427773</v>
      </c>
      <c r="Q8" s="3">
        <f>AC30</f>
        <v>2600.4420751527759</v>
      </c>
    </row>
    <row r="9" spans="1:36" ht="18.75" customHeight="1" x14ac:dyDescent="0.2">
      <c r="A9" s="24"/>
      <c r="B9" s="30" t="str">
        <f>IF(E3="Geléia de Morango","Morango","Leite Condensado")</f>
        <v>Leite Condensado</v>
      </c>
      <c r="C9" s="31" t="str">
        <f>IF(E3="Geléia de Morango","Quantidade em Gramas","Quantidade por Caixa")</f>
        <v>Quantidade por Caixa</v>
      </c>
      <c r="D9" s="32" t="str">
        <f>IF(E3="Geléia de Morango","Açúcar","Creme de Leite")</f>
        <v>Creme de Leite</v>
      </c>
      <c r="E9" s="31" t="str">
        <f>C9</f>
        <v>Quantidade por Caixa</v>
      </c>
      <c r="F9" s="33" t="str">
        <f>IF(E3="Geléia de Morango"," ","Cacau em pó por colher de sopa")</f>
        <v>Cacau em pó por colher de sopa</v>
      </c>
      <c r="G9" s="24"/>
      <c r="H9" s="3" t="s">
        <v>62</v>
      </c>
      <c r="I9" s="3">
        <v>32</v>
      </c>
      <c r="J9" s="3" t="s">
        <v>63</v>
      </c>
      <c r="K9" s="3">
        <f>Q8*I9%</f>
        <v>832.14146404888834</v>
      </c>
      <c r="L9" s="3">
        <f>Q9*I9%</f>
        <v>121.72799999999999</v>
      </c>
      <c r="M9" s="104"/>
      <c r="N9" s="3" t="s">
        <v>47</v>
      </c>
      <c r="O9" s="3">
        <v>20</v>
      </c>
      <c r="P9" s="3">
        <f>D4*O9%</f>
        <v>63.400000000000006</v>
      </c>
      <c r="Q9" s="3">
        <f>D4+P9</f>
        <v>380.4</v>
      </c>
      <c r="S9" s="3" t="s">
        <v>64</v>
      </c>
    </row>
    <row r="10" spans="1:36" ht="18.75" customHeight="1" x14ac:dyDescent="0.2">
      <c r="A10" s="24"/>
      <c r="B10" s="34">
        <f>_xlfn.IFS(E3="Brigadeiros",B13+B16,E3="Recheios para Bolos",I79,E3="Geléia de Morango",I99)</f>
        <v>276.26550000000003</v>
      </c>
      <c r="C10" s="35">
        <f>IF(E3="Brigadeiros",C13+C16,B10/I4)</f>
        <v>0.69940632911392409</v>
      </c>
      <c r="D10" s="36">
        <f>_xlfn.IFS(E3="Brigadeiros",D13+D16,E3="Recheios para Bolos",I80,E3="Geléia de Morango",I100)</f>
        <v>139.797</v>
      </c>
      <c r="E10" s="35">
        <f>IF(E3="Brigadeiros",C13+C16,D10/I5)</f>
        <v>0.69898499999999997</v>
      </c>
      <c r="F10" s="37">
        <f>IF(E3="Brigadeiros",F16,I82)</f>
        <v>1.049109493670886</v>
      </c>
      <c r="G10" s="24"/>
      <c r="S10" s="3" t="str">
        <f>_xlfn.UNIQUE(B24)</f>
        <v>brigadeiro</v>
      </c>
      <c r="U10" s="3" t="s">
        <v>65</v>
      </c>
      <c r="V10" s="3" t="s">
        <v>66</v>
      </c>
      <c r="AA10" s="3" t="s">
        <v>67</v>
      </c>
      <c r="AG10" s="3" t="s">
        <v>63</v>
      </c>
      <c r="AH10" s="3" t="s">
        <v>60</v>
      </c>
    </row>
    <row r="11" spans="1:36" ht="18.75" customHeight="1" x14ac:dyDescent="0.2">
      <c r="A11" s="24"/>
      <c r="B11" s="106" t="s">
        <v>68</v>
      </c>
      <c r="C11" s="107"/>
      <c r="D11" s="107"/>
      <c r="E11" s="108"/>
      <c r="F11" s="24"/>
      <c r="G11" s="24"/>
      <c r="V11" s="38"/>
      <c r="W11" s="39"/>
      <c r="X11" s="39"/>
      <c r="Y11" s="3"/>
      <c r="AE11" s="3"/>
      <c r="AF11" s="3"/>
      <c r="AG11" s="3"/>
      <c r="AH11" s="3"/>
    </row>
    <row r="12" spans="1:36" ht="18.75" customHeight="1" x14ac:dyDescent="0.2">
      <c r="A12" s="24"/>
      <c r="B12" s="40" t="s">
        <v>63</v>
      </c>
      <c r="C12" s="41" t="s">
        <v>69</v>
      </c>
      <c r="D12" s="42" t="s">
        <v>60</v>
      </c>
      <c r="E12" s="43" t="s">
        <v>69</v>
      </c>
      <c r="F12" s="24"/>
      <c r="G12" s="24"/>
      <c r="V12" s="38"/>
      <c r="W12" s="39"/>
      <c r="X12" s="39"/>
      <c r="Y12" s="3"/>
      <c r="AE12" s="3"/>
      <c r="AF12" s="3"/>
      <c r="AG12" s="3"/>
      <c r="AH12" s="3"/>
    </row>
    <row r="13" spans="1:36" ht="18.75" customHeight="1" x14ac:dyDescent="0.2">
      <c r="A13" s="24"/>
      <c r="B13" s="44">
        <f>IF(E3="Brigadeiros",I49,L23)</f>
        <v>258.67199999999997</v>
      </c>
      <c r="C13" s="45">
        <f>B13/I4</f>
        <v>0.65486582278481009</v>
      </c>
      <c r="D13" s="46">
        <f>IF(E3="Brigadeiros",I50,L27)</f>
        <v>133.13999999999999</v>
      </c>
      <c r="E13" s="45">
        <f>D13/I5</f>
        <v>0.66569999999999996</v>
      </c>
      <c r="F13" s="24"/>
      <c r="G13" s="24"/>
      <c r="H13" s="3" t="s">
        <v>70</v>
      </c>
      <c r="V13" s="38"/>
      <c r="W13" s="39"/>
      <c r="X13" s="39"/>
      <c r="Y13" s="3"/>
      <c r="AE13" s="3"/>
      <c r="AF13" s="3"/>
      <c r="AG13" s="3"/>
      <c r="AH13" s="3"/>
    </row>
    <row r="14" spans="1:36" ht="18.75" customHeight="1" x14ac:dyDescent="0.2">
      <c r="A14" s="24"/>
      <c r="B14" s="106" t="s">
        <v>71</v>
      </c>
      <c r="C14" s="107"/>
      <c r="D14" s="107"/>
      <c r="E14" s="108"/>
      <c r="F14" s="24"/>
      <c r="G14" s="24"/>
      <c r="V14" s="38"/>
      <c r="W14" s="39"/>
      <c r="X14" s="39"/>
      <c r="Y14" s="3"/>
      <c r="AE14" s="3"/>
      <c r="AF14" s="3"/>
      <c r="AG14" s="3"/>
      <c r="AH14" s="3"/>
    </row>
    <row r="15" spans="1:36" ht="18.75" customHeight="1" x14ac:dyDescent="0.2">
      <c r="A15" s="24"/>
      <c r="B15" s="40" t="s">
        <v>63</v>
      </c>
      <c r="C15" s="41" t="s">
        <v>69</v>
      </c>
      <c r="D15" s="42" t="s">
        <v>60</v>
      </c>
      <c r="E15" s="47" t="s">
        <v>69</v>
      </c>
      <c r="F15" s="41" t="s">
        <v>72</v>
      </c>
      <c r="G15" s="24"/>
      <c r="V15" s="38"/>
      <c r="W15" s="39"/>
      <c r="X15" s="39"/>
      <c r="Y15" s="3"/>
      <c r="AE15" s="3"/>
      <c r="AF15" s="3"/>
      <c r="AG15" s="3"/>
      <c r="AH15" s="3"/>
    </row>
    <row r="16" spans="1:36" ht="18.75" customHeight="1" x14ac:dyDescent="0.2">
      <c r="A16" s="24"/>
      <c r="B16" s="44">
        <f>IF(E3="Brigadeiros",I58,L23)</f>
        <v>258.67199999999997</v>
      </c>
      <c r="C16" s="45">
        <f>B16/I4</f>
        <v>0.65486582278481009</v>
      </c>
      <c r="D16" s="46">
        <f>IF(E3="Brigadeiros",I59,L30)</f>
        <v>0</v>
      </c>
      <c r="E16" s="48">
        <f>D16/I5</f>
        <v>0</v>
      </c>
      <c r="F16" s="45">
        <f>I62</f>
        <v>2.2656026524509167</v>
      </c>
      <c r="G16" s="24"/>
      <c r="V16" s="38"/>
      <c r="W16" s="39"/>
      <c r="X16" s="39"/>
      <c r="Y16" s="3"/>
      <c r="AE16" s="3"/>
      <c r="AF16" s="3"/>
      <c r="AG16" s="3"/>
      <c r="AH16" s="3"/>
    </row>
    <row r="17" spans="1:34" ht="17.100000000000001" hidden="1" customHeight="1" x14ac:dyDescent="0.2">
      <c r="A17" s="24"/>
      <c r="G17" s="24"/>
      <c r="V17" s="38"/>
      <c r="W17" s="39"/>
      <c r="X17" s="39"/>
      <c r="Y17" s="3"/>
      <c r="AE17" s="3"/>
      <c r="AF17" s="3"/>
      <c r="AG17" s="3"/>
      <c r="AH17" s="3"/>
    </row>
    <row r="18" spans="1:34" ht="17.100000000000001" hidden="1" customHeight="1" x14ac:dyDescent="0.2">
      <c r="A18" s="24"/>
      <c r="G18" s="24"/>
      <c r="V18" s="38"/>
      <c r="W18" s="39"/>
      <c r="X18" s="39"/>
      <c r="Y18" s="3"/>
      <c r="AE18" s="3"/>
      <c r="AF18" s="3"/>
      <c r="AG18" s="3"/>
      <c r="AH18" s="3"/>
    </row>
    <row r="19" spans="1:34" ht="17.100000000000001" hidden="1" customHeight="1" x14ac:dyDescent="0.2">
      <c r="A19" s="24"/>
      <c r="G19" s="24"/>
      <c r="V19" s="38"/>
      <c r="W19" s="39"/>
      <c r="X19" s="39"/>
      <c r="Y19" s="3"/>
      <c r="AE19" s="3"/>
      <c r="AF19" s="3"/>
      <c r="AG19" s="3"/>
      <c r="AH19" s="3"/>
    </row>
    <row r="20" spans="1:34" ht="17.100000000000001" hidden="1" customHeight="1" x14ac:dyDescent="0.2">
      <c r="A20" s="24"/>
      <c r="B20" s="76"/>
      <c r="C20" s="76"/>
      <c r="D20" s="76"/>
      <c r="E20" s="76"/>
      <c r="G20" s="24"/>
      <c r="V20" s="38"/>
      <c r="W20" s="39"/>
      <c r="X20" s="39"/>
      <c r="Y20" s="3"/>
      <c r="AE20" s="3"/>
      <c r="AF20" s="3"/>
      <c r="AG20" s="3"/>
      <c r="AH20" s="3"/>
    </row>
    <row r="21" spans="1:34" ht="17.100000000000001" customHeight="1" x14ac:dyDescent="0.2">
      <c r="A21" s="24"/>
      <c r="B21" s="49"/>
      <c r="C21" s="49"/>
      <c r="D21" s="49"/>
      <c r="E21" s="49"/>
      <c r="F21" s="24"/>
      <c r="G21" s="24"/>
      <c r="H21" s="3" t="s">
        <v>73</v>
      </c>
      <c r="K21" s="3" t="s">
        <v>74</v>
      </c>
      <c r="S21" s="3" t="str" cm="1">
        <f t="array" ref="S21:S22">_xlfn.UNIQUE(B24:B33)</f>
        <v>brigadeiro</v>
      </c>
      <c r="T21" s="3">
        <f t="shared" ref="T21:T30" si="3">IF(S21="",0,1)</f>
        <v>1</v>
      </c>
      <c r="U21" s="3">
        <f>SUM(T21:T30)</f>
        <v>2</v>
      </c>
      <c r="V21" s="38">
        <f t="shared" ref="V21:V30" si="4">IF(S21="","",D$5/U$21)</f>
        <v>15</v>
      </c>
      <c r="W21" s="39">
        <f t="shared" ref="W21:W30" si="5">IF(V21="","",V21/2)</f>
        <v>7.5</v>
      </c>
      <c r="X21" s="39" t="str">
        <f t="shared" ref="X21:X30" si="6">LEFT(W21,4)</f>
        <v>7,5</v>
      </c>
      <c r="Y21" s="3" t="str">
        <f t="shared" ref="Y21:Y30" si="7">IF(X21="","",CONCATENATE(X21,"+",X21))</f>
        <v>7,5+7,5</v>
      </c>
      <c r="AA21" s="3" t="s">
        <v>75</v>
      </c>
      <c r="AB21" s="3">
        <f t="shared" ref="AB21:AB28" si="8">SUMIF(C$24:C$34,AA21,E$24:E$34)</f>
        <v>125</v>
      </c>
      <c r="AC21" s="3">
        <f t="shared" ref="AC21:AC27" si="9">AB21*AE38</f>
        <v>2600.4420751527759</v>
      </c>
      <c r="AE21" s="3">
        <f t="shared" ref="AE21:AE23" si="10">AC21*O$8%</f>
        <v>728.1237810427773</v>
      </c>
      <c r="AF21" s="3">
        <f t="shared" ref="AF21:AF23" si="11">AC21+P$8</f>
        <v>3328.5658561955534</v>
      </c>
      <c r="AG21" s="3">
        <f t="shared" ref="AG21:AG23" si="12">AF21-K$9</f>
        <v>2496.424392146665</v>
      </c>
      <c r="AH21" s="3">
        <f t="shared" ref="AH21:AH24" si="13">AF21-K$8</f>
        <v>1638.2785073462489</v>
      </c>
    </row>
    <row r="22" spans="1:34" ht="18.95" customHeight="1" x14ac:dyDescent="0.2">
      <c r="A22" s="24"/>
      <c r="B22" s="109" t="s">
        <v>76</v>
      </c>
      <c r="C22" s="110"/>
      <c r="D22" s="110"/>
      <c r="E22" s="110"/>
      <c r="F22" s="111"/>
      <c r="G22" s="24"/>
      <c r="H22" s="3" t="s">
        <v>77</v>
      </c>
      <c r="K22" s="3" t="s">
        <v>61</v>
      </c>
      <c r="L22" s="50">
        <f>Q8-K9</f>
        <v>1768.3006111038876</v>
      </c>
      <c r="N22" s="3" t="s">
        <v>78</v>
      </c>
      <c r="S22" s="3">
        <v>0</v>
      </c>
      <c r="T22" s="3">
        <f t="shared" si="3"/>
        <v>1</v>
      </c>
      <c r="V22" s="38">
        <f t="shared" si="4"/>
        <v>15</v>
      </c>
      <c r="W22" s="39">
        <f t="shared" si="5"/>
        <v>7.5</v>
      </c>
      <c r="X22" s="39" t="str">
        <f t="shared" si="6"/>
        <v>7,5</v>
      </c>
      <c r="Y22" s="3" t="str">
        <f t="shared" si="7"/>
        <v>7,5+7,5</v>
      </c>
      <c r="AA22" s="3" t="s">
        <v>79</v>
      </c>
      <c r="AB22" s="3">
        <f t="shared" si="8"/>
        <v>0</v>
      </c>
      <c r="AC22" s="3">
        <f t="shared" si="9"/>
        <v>0</v>
      </c>
      <c r="AE22" s="3">
        <f t="shared" si="10"/>
        <v>0</v>
      </c>
      <c r="AF22" s="3">
        <f t="shared" si="11"/>
        <v>728.1237810427773</v>
      </c>
      <c r="AG22" s="3">
        <f t="shared" si="12"/>
        <v>-104.01768300611104</v>
      </c>
      <c r="AH22" s="3">
        <f t="shared" si="13"/>
        <v>-962.16356780652711</v>
      </c>
    </row>
    <row r="23" spans="1:34" ht="15" x14ac:dyDescent="0.2">
      <c r="A23" s="24"/>
      <c r="B23" s="51" t="s">
        <v>80</v>
      </c>
      <c r="C23" s="52" t="s">
        <v>81</v>
      </c>
      <c r="D23" s="51" t="s">
        <v>82</v>
      </c>
      <c r="E23" s="112" t="s">
        <v>83</v>
      </c>
      <c r="F23" s="113"/>
      <c r="G23" s="24"/>
      <c r="H23" s="3" t="s">
        <v>84</v>
      </c>
      <c r="I23" s="53">
        <v>0.32179999999999997</v>
      </c>
      <c r="K23" s="3" t="s">
        <v>47</v>
      </c>
      <c r="L23" s="54">
        <f>Q9-L9</f>
        <v>258.67199999999997</v>
      </c>
      <c r="N23" s="3" t="s">
        <v>61</v>
      </c>
      <c r="O23" s="3" t="s">
        <v>47</v>
      </c>
      <c r="T23" s="3">
        <f t="shared" si="3"/>
        <v>0</v>
      </c>
      <c r="V23" s="38" t="str">
        <f t="shared" si="4"/>
        <v/>
      </c>
      <c r="W23" s="39" t="str">
        <f t="shared" si="5"/>
        <v/>
      </c>
      <c r="X23" s="39" t="str">
        <f t="shared" si="6"/>
        <v/>
      </c>
      <c r="Y23" s="3" t="str">
        <f t="shared" si="7"/>
        <v/>
      </c>
      <c r="AA23" s="3" t="s">
        <v>39</v>
      </c>
      <c r="AB23" s="3">
        <f t="shared" si="8"/>
        <v>0</v>
      </c>
      <c r="AC23" s="3">
        <f t="shared" si="9"/>
        <v>0</v>
      </c>
      <c r="AE23" s="3">
        <f t="shared" si="10"/>
        <v>0</v>
      </c>
      <c r="AF23" s="3">
        <f t="shared" si="11"/>
        <v>728.1237810427773</v>
      </c>
      <c r="AG23" s="3">
        <f t="shared" si="12"/>
        <v>-104.01768300611104</v>
      </c>
      <c r="AH23" s="3">
        <f t="shared" si="13"/>
        <v>-962.16356780652711</v>
      </c>
    </row>
    <row r="24" spans="1:34" ht="15" x14ac:dyDescent="0.2">
      <c r="A24" s="24"/>
      <c r="B24" s="55" t="s">
        <v>148</v>
      </c>
      <c r="C24" s="55" t="s">
        <v>75</v>
      </c>
      <c r="D24" s="56" t="str">
        <f>IF(C24="Casadinho Leite em pó / Açúcar","Sim","Não")</f>
        <v>Não</v>
      </c>
      <c r="E24" s="57">
        <v>125</v>
      </c>
      <c r="F24" s="58" t="str">
        <f>IF(D24="Sim",Y21,"")</f>
        <v/>
      </c>
      <c r="G24" s="24"/>
      <c r="H24" s="3" t="s">
        <v>85</v>
      </c>
      <c r="I24" s="3">
        <f>AF50</f>
        <v>0</v>
      </c>
      <c r="N24" s="104">
        <f>L22+L26</f>
        <v>2678.4553374073594</v>
      </c>
      <c r="O24" s="104">
        <f>L23+L27</f>
        <v>391.81199999999995</v>
      </c>
      <c r="T24" s="3">
        <f t="shared" si="3"/>
        <v>0</v>
      </c>
      <c r="V24" s="38" t="str">
        <f t="shared" si="4"/>
        <v/>
      </c>
      <c r="W24" s="39" t="str">
        <f t="shared" si="5"/>
        <v/>
      </c>
      <c r="X24" s="39" t="str">
        <f t="shared" si="6"/>
        <v/>
      </c>
      <c r="Y24" s="3" t="str">
        <f t="shared" si="7"/>
        <v/>
      </c>
      <c r="AA24" s="3" t="s">
        <v>86</v>
      </c>
      <c r="AB24" s="3">
        <f t="shared" si="8"/>
        <v>0</v>
      </c>
      <c r="AC24" s="3">
        <f t="shared" si="9"/>
        <v>0</v>
      </c>
      <c r="AE24" s="3">
        <f>AC30*O8%</f>
        <v>728.1237810427773</v>
      </c>
      <c r="AF24" s="3">
        <f>AC30+P8</f>
        <v>3328.5658561955534</v>
      </c>
      <c r="AG24" s="3">
        <f>AF24-K9</f>
        <v>2496.424392146665</v>
      </c>
      <c r="AH24" s="3">
        <f t="shared" si="13"/>
        <v>1638.2785073462489</v>
      </c>
    </row>
    <row r="25" spans="1:34" ht="15" x14ac:dyDescent="0.2">
      <c r="A25" s="24"/>
      <c r="B25" s="59"/>
      <c r="C25" s="59" t="s">
        <v>92</v>
      </c>
      <c r="D25" s="60" t="str">
        <f t="shared" ref="D25:D33" si="14">IF(C25="Casadinho Leite em pó / Açúcar","Sim","Não")</f>
        <v>Sim</v>
      </c>
      <c r="E25" s="61"/>
      <c r="F25" s="58" t="str">
        <f t="shared" ref="F25:F33" si="15">IF(D25="Sim",Y22,"")</f>
        <v>7,5+7,5</v>
      </c>
      <c r="G25" s="24"/>
      <c r="H25" s="3" t="s">
        <v>87</v>
      </c>
      <c r="I25" s="3">
        <v>0.67820000000000003</v>
      </c>
      <c r="J25" s="3"/>
      <c r="K25" s="3" t="s">
        <v>88</v>
      </c>
      <c r="L25" s="3"/>
      <c r="N25" s="104"/>
      <c r="O25" s="105"/>
      <c r="T25" s="3">
        <f t="shared" si="3"/>
        <v>0</v>
      </c>
      <c r="V25" s="38" t="str">
        <f t="shared" si="4"/>
        <v/>
      </c>
      <c r="W25" s="39" t="str">
        <f t="shared" si="5"/>
        <v/>
      </c>
      <c r="X25" s="39" t="str">
        <f t="shared" si="6"/>
        <v/>
      </c>
      <c r="Y25" s="3" t="str">
        <f t="shared" si="7"/>
        <v/>
      </c>
      <c r="AA25" s="3" t="s">
        <v>89</v>
      </c>
      <c r="AB25" s="3">
        <f t="shared" si="8"/>
        <v>0</v>
      </c>
      <c r="AC25" s="3">
        <f t="shared" si="9"/>
        <v>0</v>
      </c>
    </row>
    <row r="26" spans="1:34" ht="15" x14ac:dyDescent="0.2">
      <c r="A26" s="24"/>
      <c r="B26" s="55"/>
      <c r="C26" s="55" t="s">
        <v>39</v>
      </c>
      <c r="D26" s="56" t="str">
        <f t="shared" si="14"/>
        <v>Não</v>
      </c>
      <c r="E26" s="57"/>
      <c r="F26" s="58" t="str">
        <f t="shared" si="15"/>
        <v/>
      </c>
      <c r="G26" s="24"/>
      <c r="H26" s="3" t="s">
        <v>90</v>
      </c>
      <c r="I26" s="3">
        <f>I24/I25</f>
        <v>0</v>
      </c>
      <c r="J26" s="3"/>
      <c r="K26" s="3" t="s">
        <v>61</v>
      </c>
      <c r="L26" s="50">
        <f>Q8-K8</f>
        <v>910.15472630347153</v>
      </c>
      <c r="T26" s="3">
        <f t="shared" si="3"/>
        <v>0</v>
      </c>
      <c r="V26" s="38" t="str">
        <f t="shared" si="4"/>
        <v/>
      </c>
      <c r="W26" s="39" t="str">
        <f t="shared" si="5"/>
        <v/>
      </c>
      <c r="X26" s="39" t="str">
        <f t="shared" si="6"/>
        <v/>
      </c>
      <c r="Y26" s="3" t="str">
        <f t="shared" si="7"/>
        <v/>
      </c>
      <c r="AA26" s="3" t="s">
        <v>91</v>
      </c>
      <c r="AB26" s="3">
        <f t="shared" si="8"/>
        <v>0</v>
      </c>
      <c r="AC26" s="3">
        <f t="shared" si="9"/>
        <v>0</v>
      </c>
    </row>
    <row r="27" spans="1:34" ht="15" x14ac:dyDescent="0.2">
      <c r="A27" s="24"/>
      <c r="B27" s="59"/>
      <c r="C27" s="59" t="s">
        <v>92</v>
      </c>
      <c r="D27" s="60" t="str">
        <f t="shared" si="14"/>
        <v>Sim</v>
      </c>
      <c r="E27" s="61" t="str">
        <f t="shared" ref="E24:E34" si="16">V24</f>
        <v/>
      </c>
      <c r="F27" s="58" t="str">
        <f t="shared" si="15"/>
        <v/>
      </c>
      <c r="G27" s="24"/>
      <c r="H27" s="3" t="s">
        <v>93</v>
      </c>
      <c r="I27" s="3">
        <v>5</v>
      </c>
      <c r="J27" s="3"/>
      <c r="K27" s="3" t="s">
        <v>47</v>
      </c>
      <c r="L27" s="54">
        <f>Q9-L8</f>
        <v>133.13999999999999</v>
      </c>
      <c r="T27" s="3">
        <f t="shared" si="3"/>
        <v>0</v>
      </c>
      <c r="V27" s="38" t="str">
        <f t="shared" si="4"/>
        <v/>
      </c>
      <c r="W27" s="39" t="str">
        <f t="shared" si="5"/>
        <v/>
      </c>
      <c r="X27" s="39" t="str">
        <f t="shared" si="6"/>
        <v/>
      </c>
      <c r="Y27" s="3" t="str">
        <f t="shared" si="7"/>
        <v/>
      </c>
      <c r="AA27" s="3" t="s">
        <v>94</v>
      </c>
      <c r="AB27" s="3">
        <f t="shared" si="8"/>
        <v>0</v>
      </c>
      <c r="AC27" s="3">
        <f t="shared" si="9"/>
        <v>0</v>
      </c>
    </row>
    <row r="28" spans="1:34" ht="15" x14ac:dyDescent="0.2">
      <c r="A28" s="24"/>
      <c r="B28" s="55"/>
      <c r="C28" s="55" t="s">
        <v>95</v>
      </c>
      <c r="D28" s="56" t="str">
        <f t="shared" si="14"/>
        <v>Não</v>
      </c>
      <c r="E28" s="57" t="str">
        <f t="shared" si="16"/>
        <v/>
      </c>
      <c r="F28" s="58" t="str">
        <f t="shared" si="15"/>
        <v/>
      </c>
      <c r="G28" s="24"/>
      <c r="H28" s="3" t="s">
        <v>96</v>
      </c>
      <c r="I28" s="3">
        <f>I26*I27%</f>
        <v>0</v>
      </c>
      <c r="T28" s="3">
        <f t="shared" si="3"/>
        <v>0</v>
      </c>
      <c r="V28" s="38" t="str">
        <f t="shared" si="4"/>
        <v/>
      </c>
      <c r="W28" s="39" t="str">
        <f t="shared" si="5"/>
        <v/>
      </c>
      <c r="X28" s="39" t="str">
        <f t="shared" si="6"/>
        <v/>
      </c>
      <c r="Y28" s="3" t="str">
        <f t="shared" si="7"/>
        <v/>
      </c>
      <c r="AA28" s="3" t="s">
        <v>92</v>
      </c>
      <c r="AB28" s="3">
        <f t="shared" si="8"/>
        <v>0</v>
      </c>
      <c r="AC28" s="3">
        <f>AB28*AE47</f>
        <v>0</v>
      </c>
    </row>
    <row r="29" spans="1:34" ht="15" x14ac:dyDescent="0.2">
      <c r="A29" s="24"/>
      <c r="B29" s="59"/>
      <c r="C29" s="59" t="s">
        <v>75</v>
      </c>
      <c r="D29" s="60" t="str">
        <f t="shared" si="14"/>
        <v>Não</v>
      </c>
      <c r="E29" s="61" t="str">
        <f t="shared" si="16"/>
        <v/>
      </c>
      <c r="F29" s="58" t="str">
        <f t="shared" si="15"/>
        <v/>
      </c>
      <c r="G29" s="24"/>
      <c r="H29" s="3" t="s">
        <v>38</v>
      </c>
      <c r="I29" s="3">
        <f>I26+I28</f>
        <v>0</v>
      </c>
      <c r="T29" s="3">
        <f t="shared" si="3"/>
        <v>0</v>
      </c>
      <c r="V29" s="38" t="str">
        <f t="shared" si="4"/>
        <v/>
      </c>
      <c r="W29" s="39" t="str">
        <f t="shared" si="5"/>
        <v/>
      </c>
      <c r="X29" s="39" t="str">
        <f t="shared" si="6"/>
        <v/>
      </c>
      <c r="Y29" s="3" t="str">
        <f t="shared" si="7"/>
        <v/>
      </c>
    </row>
    <row r="30" spans="1:34" ht="15" x14ac:dyDescent="0.2">
      <c r="A30" s="24"/>
      <c r="B30" s="55"/>
      <c r="C30" s="55" t="s">
        <v>97</v>
      </c>
      <c r="D30" s="56" t="str">
        <f t="shared" si="14"/>
        <v>Não</v>
      </c>
      <c r="E30" s="62" t="str">
        <f t="shared" si="16"/>
        <v/>
      </c>
      <c r="F30" s="58" t="str">
        <f t="shared" si="15"/>
        <v/>
      </c>
      <c r="G30" s="24"/>
      <c r="T30" s="3">
        <f t="shared" si="3"/>
        <v>0</v>
      </c>
      <c r="V30" s="38" t="str">
        <f t="shared" si="4"/>
        <v/>
      </c>
      <c r="W30" s="39" t="str">
        <f t="shared" si="5"/>
        <v/>
      </c>
      <c r="X30" s="39" t="str">
        <f t="shared" si="6"/>
        <v/>
      </c>
      <c r="Y30" s="3" t="str">
        <f t="shared" si="7"/>
        <v/>
      </c>
      <c r="AA30" s="3" t="s">
        <v>98</v>
      </c>
      <c r="AB30" s="3">
        <f>AB21+AB22+AB23</f>
        <v>125</v>
      </c>
      <c r="AC30" s="3">
        <f>SUM(AC21:AC28)</f>
        <v>2600.4420751527759</v>
      </c>
    </row>
    <row r="31" spans="1:34" ht="15" x14ac:dyDescent="0.2">
      <c r="A31" s="24"/>
      <c r="B31" s="59"/>
      <c r="C31" s="59" t="s">
        <v>79</v>
      </c>
      <c r="D31" s="60" t="str">
        <f t="shared" si="14"/>
        <v>Não</v>
      </c>
      <c r="E31" s="76" t="str">
        <f t="shared" si="16"/>
        <v/>
      </c>
      <c r="F31" s="58" t="str">
        <f t="shared" si="15"/>
        <v/>
      </c>
      <c r="G31" s="24"/>
      <c r="H31" s="3" t="s">
        <v>73</v>
      </c>
      <c r="I31" s="3"/>
      <c r="T31" s="3"/>
    </row>
    <row r="32" spans="1:34" ht="15" x14ac:dyDescent="0.2">
      <c r="A32" s="24"/>
      <c r="B32" s="55"/>
      <c r="C32" s="55" t="s">
        <v>97</v>
      </c>
      <c r="D32" s="56" t="str">
        <f t="shared" si="14"/>
        <v>Não</v>
      </c>
      <c r="E32" s="62" t="str">
        <f t="shared" si="16"/>
        <v/>
      </c>
      <c r="F32" s="58" t="str">
        <f t="shared" si="15"/>
        <v/>
      </c>
      <c r="G32" s="24"/>
      <c r="H32" s="3" t="s">
        <v>99</v>
      </c>
      <c r="I32" s="3"/>
      <c r="T32" s="3"/>
      <c r="AA32" s="3" t="s">
        <v>100</v>
      </c>
      <c r="AB32" s="3" t="s">
        <v>42</v>
      </c>
      <c r="AC32" s="3" t="s">
        <v>43</v>
      </c>
      <c r="AD32" s="3" t="s">
        <v>44</v>
      </c>
      <c r="AE32" s="3" t="s">
        <v>101</v>
      </c>
      <c r="AF32" s="3" t="s">
        <v>45</v>
      </c>
      <c r="AG32" s="3"/>
      <c r="AH32" s="3"/>
    </row>
    <row r="33" spans="1:35" ht="15" x14ac:dyDescent="0.2">
      <c r="A33" s="24"/>
      <c r="B33" s="63"/>
      <c r="C33" s="63" t="s">
        <v>97</v>
      </c>
      <c r="D33" s="64" t="str">
        <f t="shared" si="14"/>
        <v>Não</v>
      </c>
      <c r="E33" s="65" t="str">
        <f t="shared" si="16"/>
        <v/>
      </c>
      <c r="F33" s="58" t="str">
        <f t="shared" si="15"/>
        <v/>
      </c>
      <c r="G33" s="24"/>
      <c r="H33" s="3" t="s">
        <v>84</v>
      </c>
      <c r="I33" s="53">
        <v>0.23100000000000001</v>
      </c>
      <c r="AA33" s="66" t="s">
        <v>97</v>
      </c>
      <c r="AB33" s="66">
        <v>0</v>
      </c>
      <c r="AC33" s="66">
        <v>16</v>
      </c>
      <c r="AD33" s="66">
        <f t="shared" ref="AD33:AD34" si="17">AC33-AB33</f>
        <v>16</v>
      </c>
      <c r="AE33" s="66">
        <f>AD33*E5</f>
        <v>3.2</v>
      </c>
      <c r="AF33" s="66">
        <f t="shared" ref="AF33:AF34" si="18">AE33+AD33</f>
        <v>19.2</v>
      </c>
    </row>
    <row r="34" spans="1:35" ht="15" x14ac:dyDescent="0.2">
      <c r="A34" s="24"/>
      <c r="B34" s="24"/>
      <c r="C34" s="24"/>
      <c r="D34" s="24"/>
      <c r="E34" s="24">
        <f t="shared" si="16"/>
        <v>0</v>
      </c>
      <c r="F34" s="24"/>
      <c r="G34" s="24"/>
      <c r="H34" s="3" t="s">
        <v>102</v>
      </c>
      <c r="I34" s="3">
        <f>AF49</f>
        <v>2000</v>
      </c>
      <c r="AA34" s="66" t="s">
        <v>103</v>
      </c>
      <c r="AB34" s="66">
        <v>4</v>
      </c>
      <c r="AC34" s="66">
        <v>16</v>
      </c>
      <c r="AD34" s="66">
        <f t="shared" si="17"/>
        <v>12</v>
      </c>
      <c r="AE34" s="66">
        <f>AD34*E$5</f>
        <v>2.4000000000000004</v>
      </c>
      <c r="AF34" s="66">
        <f t="shared" si="18"/>
        <v>14.4</v>
      </c>
    </row>
    <row r="35" spans="1:35" ht="15" x14ac:dyDescent="0.2">
      <c r="A35" s="24"/>
      <c r="B35" s="67" t="s">
        <v>104</v>
      </c>
      <c r="C35" s="67"/>
      <c r="D35" s="67"/>
      <c r="E35" s="68">
        <f>J115</f>
        <v>0</v>
      </c>
      <c r="F35" s="24"/>
      <c r="G35" s="24"/>
      <c r="H35" s="3"/>
      <c r="I35" s="3"/>
      <c r="AA35" s="66"/>
      <c r="AB35" s="66"/>
      <c r="AC35" s="66"/>
      <c r="AD35" s="66"/>
      <c r="AE35" s="66"/>
      <c r="AF35" s="66"/>
    </row>
    <row r="36" spans="1:35" ht="15" x14ac:dyDescent="0.2">
      <c r="A36" s="24"/>
      <c r="B36" s="24"/>
      <c r="C36" s="24"/>
      <c r="D36" s="24"/>
      <c r="E36" s="24"/>
      <c r="F36" s="24"/>
      <c r="G36" s="24"/>
      <c r="H36" s="3" t="s">
        <v>87</v>
      </c>
      <c r="I36" s="3">
        <v>0.76910000000000001</v>
      </c>
      <c r="AA36" s="66"/>
      <c r="AB36" s="66"/>
      <c r="AC36" s="66"/>
      <c r="AD36" s="66"/>
      <c r="AE36" s="66">
        <f t="shared" ref="AE36:AE37" si="19">AD36*E$5</f>
        <v>0</v>
      </c>
      <c r="AF36" s="66">
        <f t="shared" ref="AF36:AF37" si="20">AE36+AD36</f>
        <v>0</v>
      </c>
    </row>
    <row r="37" spans="1:35" ht="15" x14ac:dyDescent="0.2">
      <c r="A37" s="24"/>
      <c r="B37" s="69" t="s">
        <v>105</v>
      </c>
      <c r="C37" s="70"/>
      <c r="D37" s="70" t="s">
        <v>106</v>
      </c>
      <c r="E37" s="70"/>
      <c r="F37" s="71"/>
      <c r="G37" s="24"/>
      <c r="H37" s="3" t="s">
        <v>90</v>
      </c>
      <c r="I37" s="3">
        <f>I34/I36</f>
        <v>2600.4420751527759</v>
      </c>
      <c r="AA37" s="66" t="s">
        <v>95</v>
      </c>
      <c r="AB37" s="66">
        <v>6</v>
      </c>
      <c r="AC37" s="66">
        <v>12</v>
      </c>
      <c r="AD37" s="66">
        <f t="shared" ref="AD37:AD44" si="21">AC37-AB37</f>
        <v>6</v>
      </c>
      <c r="AE37" s="66">
        <f t="shared" si="19"/>
        <v>1.2000000000000002</v>
      </c>
      <c r="AF37" s="66">
        <f t="shared" si="20"/>
        <v>7.2</v>
      </c>
    </row>
    <row r="38" spans="1:35" ht="15" x14ac:dyDescent="0.2">
      <c r="A38" s="24"/>
      <c r="B38" s="69" t="s">
        <v>107</v>
      </c>
      <c r="C38" s="70"/>
      <c r="D38" s="70">
        <f>I29</f>
        <v>0</v>
      </c>
      <c r="E38" s="70"/>
      <c r="F38" s="71"/>
      <c r="G38" s="24"/>
      <c r="H38" s="3" t="s">
        <v>93</v>
      </c>
      <c r="I38" s="3">
        <v>5</v>
      </c>
      <c r="AA38" s="3" t="s">
        <v>75</v>
      </c>
      <c r="AB38" s="3">
        <v>0</v>
      </c>
      <c r="AC38" s="3">
        <v>16</v>
      </c>
      <c r="AD38" s="3">
        <f t="shared" si="21"/>
        <v>16</v>
      </c>
      <c r="AE38" s="3">
        <f t="shared" ref="AE38:AE40" si="22">AD38/I$36</f>
        <v>20.803536601222209</v>
      </c>
      <c r="AF38" s="3">
        <f t="shared" ref="AF38:AF44" si="23">AD38*AB21</f>
        <v>2000</v>
      </c>
    </row>
    <row r="39" spans="1:35" ht="15" x14ac:dyDescent="0.2">
      <c r="A39" s="24"/>
      <c r="B39" s="77" t="s">
        <v>108</v>
      </c>
      <c r="C39" s="78"/>
      <c r="D39" s="78">
        <f>I58+I59+I60</f>
        <v>2707.6613899362887</v>
      </c>
      <c r="E39" s="78"/>
      <c r="F39" s="79"/>
      <c r="G39" s="24"/>
      <c r="H39" s="3" t="s">
        <v>96</v>
      </c>
      <c r="I39" s="3">
        <f>I37*I38%</f>
        <v>130.0221037576388</v>
      </c>
      <c r="AA39" s="3" t="s">
        <v>79</v>
      </c>
      <c r="AB39" s="3">
        <v>4</v>
      </c>
      <c r="AC39" s="3">
        <v>16</v>
      </c>
      <c r="AD39" s="3">
        <f t="shared" si="21"/>
        <v>12</v>
      </c>
      <c r="AE39" s="3">
        <f t="shared" si="22"/>
        <v>15.602652450916656</v>
      </c>
      <c r="AF39" s="3">
        <f t="shared" si="23"/>
        <v>0</v>
      </c>
    </row>
    <row r="40" spans="1:35" ht="15" x14ac:dyDescent="0.2">
      <c r="A40" s="24"/>
      <c r="B40" s="24"/>
      <c r="C40" s="24"/>
      <c r="D40" s="24"/>
      <c r="E40" s="24"/>
      <c r="F40" s="24"/>
      <c r="G40" s="24"/>
      <c r="H40" s="3" t="s">
        <v>38</v>
      </c>
      <c r="I40" s="3">
        <f>I37+I39</f>
        <v>2730.4641789104148</v>
      </c>
      <c r="AA40" s="3" t="s">
        <v>39</v>
      </c>
      <c r="AB40" s="3">
        <v>6</v>
      </c>
      <c r="AC40" s="3">
        <v>12</v>
      </c>
      <c r="AD40" s="3">
        <f t="shared" si="21"/>
        <v>6</v>
      </c>
      <c r="AE40" s="3">
        <f t="shared" si="22"/>
        <v>7.801326225458328</v>
      </c>
      <c r="AF40" s="3">
        <f t="shared" si="23"/>
        <v>0</v>
      </c>
    </row>
    <row r="41" spans="1:35" ht="15" x14ac:dyDescent="0.2">
      <c r="B41" s="3"/>
      <c r="C41" s="3"/>
      <c r="D41" s="3"/>
      <c r="AA41" s="3" t="s">
        <v>86</v>
      </c>
      <c r="AB41" s="3">
        <v>0</v>
      </c>
      <c r="AC41" s="3">
        <v>16</v>
      </c>
      <c r="AD41" s="3">
        <f t="shared" si="21"/>
        <v>16</v>
      </c>
      <c r="AE41" s="3">
        <f t="shared" ref="AE41:AE42" si="24">AD41/I$25</f>
        <v>23.591860808021231</v>
      </c>
      <c r="AF41" s="3">
        <f t="shared" si="23"/>
        <v>0</v>
      </c>
    </row>
    <row r="42" spans="1:35" ht="15" x14ac:dyDescent="0.2">
      <c r="B42" s="3"/>
      <c r="C42" s="3"/>
      <c r="D42" s="3"/>
      <c r="I42" s="3">
        <f>MAX(I2:I41)</f>
        <v>2730.4641789104148</v>
      </c>
      <c r="AA42" s="3" t="s">
        <v>89</v>
      </c>
      <c r="AB42" s="3">
        <v>6</v>
      </c>
      <c r="AC42" s="3">
        <v>12</v>
      </c>
      <c r="AD42" s="3">
        <f t="shared" si="21"/>
        <v>6</v>
      </c>
      <c r="AE42" s="3">
        <f t="shared" si="24"/>
        <v>8.8469478030079625</v>
      </c>
      <c r="AF42" s="3">
        <f t="shared" si="23"/>
        <v>0</v>
      </c>
    </row>
    <row r="43" spans="1:35" ht="15" x14ac:dyDescent="0.2">
      <c r="B43" s="3"/>
      <c r="C43" s="3"/>
      <c r="D43" s="3"/>
      <c r="AA43" s="3" t="s">
        <v>91</v>
      </c>
      <c r="AB43" s="3">
        <v>0</v>
      </c>
      <c r="AC43" s="3">
        <v>16</v>
      </c>
      <c r="AD43" s="3">
        <f t="shared" si="21"/>
        <v>16</v>
      </c>
      <c r="AE43" s="3">
        <f>AD43/I$36</f>
        <v>20.803536601222209</v>
      </c>
      <c r="AF43" s="3">
        <f t="shared" si="23"/>
        <v>0</v>
      </c>
    </row>
    <row r="44" spans="1:35" ht="15" x14ac:dyDescent="0.2">
      <c r="B44" s="3"/>
      <c r="C44" s="3"/>
      <c r="D44" s="3"/>
      <c r="H44" s="3" t="s">
        <v>109</v>
      </c>
      <c r="AA44" s="3" t="s">
        <v>94</v>
      </c>
      <c r="AB44" s="3">
        <v>0</v>
      </c>
      <c r="AC44" s="3">
        <v>16</v>
      </c>
      <c r="AD44" s="3">
        <f t="shared" si="21"/>
        <v>16</v>
      </c>
      <c r="AE44" s="3">
        <f t="shared" ref="AE44:AE45" si="25">AD44/I$25</f>
        <v>23.591860808021231</v>
      </c>
      <c r="AF44" s="3">
        <f t="shared" si="23"/>
        <v>0</v>
      </c>
    </row>
    <row r="45" spans="1:35" ht="15" x14ac:dyDescent="0.2">
      <c r="B45" s="3"/>
      <c r="C45" s="3"/>
      <c r="D45" s="3"/>
      <c r="H45" s="3" t="s">
        <v>77</v>
      </c>
      <c r="AA45" s="72" t="s">
        <v>92</v>
      </c>
      <c r="AB45" s="73">
        <v>0</v>
      </c>
      <c r="AC45" s="73">
        <v>16</v>
      </c>
      <c r="AD45" s="73">
        <f>AC45/2</f>
        <v>8</v>
      </c>
      <c r="AE45" s="73">
        <f t="shared" si="25"/>
        <v>11.795930404010615</v>
      </c>
      <c r="AF45" s="3">
        <f>AC45*AB28</f>
        <v>0</v>
      </c>
      <c r="AG45" s="3">
        <f>AF45/2</f>
        <v>0</v>
      </c>
      <c r="AH45" s="3">
        <f>AE45*AB28</f>
        <v>0</v>
      </c>
      <c r="AI45" s="3" t="s">
        <v>110</v>
      </c>
    </row>
    <row r="46" spans="1:35" ht="15" x14ac:dyDescent="0.2">
      <c r="H46" s="3" t="s">
        <v>111</v>
      </c>
      <c r="I46" s="3">
        <v>0.66400000000000003</v>
      </c>
      <c r="AA46" s="77"/>
      <c r="AB46" s="78"/>
      <c r="AC46" s="78"/>
      <c r="AD46" s="78"/>
      <c r="AE46" s="78">
        <f>AD45/I$36</f>
        <v>10.401768300611105</v>
      </c>
      <c r="AF46" s="79"/>
      <c r="AH46" s="3">
        <f>AE46*AB28</f>
        <v>0</v>
      </c>
      <c r="AI46" s="3" t="s">
        <v>112</v>
      </c>
    </row>
    <row r="47" spans="1:35" ht="15" x14ac:dyDescent="0.2">
      <c r="H47" s="3" t="s">
        <v>113</v>
      </c>
      <c r="I47" s="3">
        <v>0.33600000000000002</v>
      </c>
      <c r="AE47" s="74">
        <f>AE45+AE46</f>
        <v>22.197698704621722</v>
      </c>
    </row>
    <row r="48" spans="1:35" ht="15" x14ac:dyDescent="0.2">
      <c r="H48" s="3" t="s">
        <v>114</v>
      </c>
      <c r="I48" s="3">
        <f>I29</f>
        <v>0</v>
      </c>
    </row>
    <row r="49" spans="8:32" ht="15" x14ac:dyDescent="0.2">
      <c r="H49" s="3" t="s">
        <v>115</v>
      </c>
      <c r="I49" s="3">
        <f>I48*I46</f>
        <v>0</v>
      </c>
      <c r="AE49" s="3" t="s">
        <v>116</v>
      </c>
      <c r="AF49" s="3">
        <f>SUM(AF38+AF39+AF40+AF43+AG45)</f>
        <v>2000</v>
      </c>
    </row>
    <row r="50" spans="8:32" ht="15" x14ac:dyDescent="0.2">
      <c r="H50" s="3" t="s">
        <v>117</v>
      </c>
      <c r="I50" s="3">
        <f>I48*I47</f>
        <v>0</v>
      </c>
      <c r="AE50" s="3" t="s">
        <v>118</v>
      </c>
      <c r="AF50" s="3">
        <f>SUM(AF41+AF42+AF44+AG45)</f>
        <v>0</v>
      </c>
    </row>
    <row r="52" spans="8:32" ht="15" x14ac:dyDescent="0.2">
      <c r="H52" s="3" t="s">
        <v>109</v>
      </c>
      <c r="I52" s="3"/>
    </row>
    <row r="53" spans="8:32" ht="15" x14ac:dyDescent="0.2">
      <c r="H53" s="3" t="s">
        <v>119</v>
      </c>
      <c r="I53" s="3"/>
    </row>
    <row r="54" spans="8:32" ht="15" x14ac:dyDescent="0.2">
      <c r="H54" s="3" t="s">
        <v>111</v>
      </c>
      <c r="I54" s="3">
        <v>0.65559999999999996</v>
      </c>
    </row>
    <row r="55" spans="8:32" ht="15" x14ac:dyDescent="0.2">
      <c r="H55" s="3" t="s">
        <v>113</v>
      </c>
      <c r="I55" s="3">
        <v>0.33189999999999997</v>
      </c>
    </row>
    <row r="56" spans="8:32" ht="15" x14ac:dyDescent="0.2">
      <c r="H56" s="3" t="s">
        <v>120</v>
      </c>
      <c r="I56" s="3">
        <v>1.2500000000000001E-2</v>
      </c>
    </row>
    <row r="57" spans="8:32" ht="15" x14ac:dyDescent="0.2">
      <c r="H57" s="3" t="s">
        <v>121</v>
      </c>
      <c r="I57" s="3">
        <f>I40</f>
        <v>2730.4641789104148</v>
      </c>
    </row>
    <row r="58" spans="8:32" ht="15" x14ac:dyDescent="0.2">
      <c r="H58" s="3" t="s">
        <v>115</v>
      </c>
      <c r="I58" s="3">
        <f>I57*I54</f>
        <v>1790.0923156936678</v>
      </c>
    </row>
    <row r="59" spans="8:32" ht="15" x14ac:dyDescent="0.2">
      <c r="H59" s="3" t="s">
        <v>117</v>
      </c>
      <c r="I59" s="3">
        <f>I57*I55</f>
        <v>906.24106098036657</v>
      </c>
    </row>
    <row r="60" spans="8:32" ht="15" x14ac:dyDescent="0.2">
      <c r="H60" s="3" t="s">
        <v>122</v>
      </c>
      <c r="I60" s="3">
        <f>I59*I56</f>
        <v>11.328013262254583</v>
      </c>
    </row>
    <row r="61" spans="8:32" ht="15" x14ac:dyDescent="0.2">
      <c r="H61" s="3" t="s">
        <v>123</v>
      </c>
      <c r="I61" s="3">
        <v>5</v>
      </c>
    </row>
    <row r="62" spans="8:32" ht="15" x14ac:dyDescent="0.2">
      <c r="H62" s="3" t="s">
        <v>124</v>
      </c>
      <c r="I62" s="3">
        <f>I60/I61</f>
        <v>2.2656026524509167</v>
      </c>
    </row>
    <row r="64" spans="8:32" ht="15" x14ac:dyDescent="0.2">
      <c r="H64" s="3" t="s">
        <v>125</v>
      </c>
    </row>
    <row r="65" spans="8:9" ht="15" x14ac:dyDescent="0.2">
      <c r="H65" s="3" t="s">
        <v>47</v>
      </c>
      <c r="I65" s="3"/>
    </row>
    <row r="66" spans="8:9" ht="15" x14ac:dyDescent="0.2">
      <c r="H66" s="3" t="s">
        <v>84</v>
      </c>
      <c r="I66" s="53">
        <v>0.2</v>
      </c>
    </row>
    <row r="67" spans="8:9" ht="15" x14ac:dyDescent="0.2">
      <c r="H67" s="3" t="s">
        <v>85</v>
      </c>
      <c r="I67" s="75">
        <f>D4</f>
        <v>317</v>
      </c>
    </row>
    <row r="68" spans="8:9" ht="15" x14ac:dyDescent="0.2">
      <c r="H68" s="3" t="s">
        <v>87</v>
      </c>
      <c r="I68" s="3">
        <v>0.8</v>
      </c>
    </row>
    <row r="69" spans="8:9" ht="15" x14ac:dyDescent="0.2">
      <c r="H69" s="3" t="s">
        <v>90</v>
      </c>
      <c r="I69" s="3">
        <f>I67/I68</f>
        <v>396.25</v>
      </c>
    </row>
    <row r="70" spans="8:9" ht="15" x14ac:dyDescent="0.2">
      <c r="H70" s="3" t="s">
        <v>93</v>
      </c>
      <c r="I70" s="3">
        <v>5</v>
      </c>
    </row>
    <row r="71" spans="8:9" ht="15" x14ac:dyDescent="0.2">
      <c r="H71" s="3" t="s">
        <v>96</v>
      </c>
      <c r="I71" s="3">
        <f>I69*I70%</f>
        <v>19.8125</v>
      </c>
    </row>
    <row r="72" spans="8:9" ht="15" x14ac:dyDescent="0.2">
      <c r="H72" s="3" t="s">
        <v>38</v>
      </c>
      <c r="I72" s="3">
        <f>I69+I71</f>
        <v>416.0625</v>
      </c>
    </row>
    <row r="74" spans="8:9" ht="15" x14ac:dyDescent="0.2">
      <c r="H74" s="3" t="s">
        <v>126</v>
      </c>
      <c r="I74" s="3"/>
    </row>
    <row r="75" spans="8:9" ht="15" x14ac:dyDescent="0.2">
      <c r="H75" s="3" t="s">
        <v>47</v>
      </c>
      <c r="I75" s="3"/>
    </row>
    <row r="76" spans="8:9" ht="15" x14ac:dyDescent="0.2">
      <c r="H76" s="3" t="s">
        <v>111</v>
      </c>
      <c r="I76" s="3">
        <v>0.66400000000000003</v>
      </c>
    </row>
    <row r="77" spans="8:9" ht="15" x14ac:dyDescent="0.2">
      <c r="H77" s="3" t="s">
        <v>113</v>
      </c>
      <c r="I77" s="3">
        <v>0.33600000000000002</v>
      </c>
    </row>
    <row r="78" spans="8:9" ht="15" x14ac:dyDescent="0.2">
      <c r="H78" s="3" t="s">
        <v>127</v>
      </c>
      <c r="I78" s="3">
        <f>I72</f>
        <v>416.0625</v>
      </c>
    </row>
    <row r="79" spans="8:9" ht="15" x14ac:dyDescent="0.2">
      <c r="H79" s="3" t="s">
        <v>115</v>
      </c>
      <c r="I79" s="3">
        <f>I78*I76</f>
        <v>276.26550000000003</v>
      </c>
    </row>
    <row r="80" spans="8:9" ht="15" x14ac:dyDescent="0.2">
      <c r="H80" s="3" t="s">
        <v>117</v>
      </c>
      <c r="I80" s="3">
        <f>I78*I77</f>
        <v>139.797</v>
      </c>
    </row>
    <row r="81" spans="8:9" ht="15" x14ac:dyDescent="0.2">
      <c r="H81" s="3" t="s">
        <v>128</v>
      </c>
      <c r="I81" s="3">
        <v>1.5</v>
      </c>
    </row>
    <row r="82" spans="8:9" ht="15" x14ac:dyDescent="0.2">
      <c r="I82" s="3">
        <f>I81*C10</f>
        <v>1.049109493670886</v>
      </c>
    </row>
    <row r="84" spans="8:9" ht="15" x14ac:dyDescent="0.2">
      <c r="H84" s="3" t="s">
        <v>129</v>
      </c>
      <c r="I84" s="3"/>
    </row>
    <row r="85" spans="8:9" ht="15" x14ac:dyDescent="0.2">
      <c r="H85" s="3" t="s">
        <v>130</v>
      </c>
      <c r="I85" s="3"/>
    </row>
    <row r="86" spans="8:9" ht="15" x14ac:dyDescent="0.2">
      <c r="H86" s="3" t="s">
        <v>84</v>
      </c>
      <c r="I86" s="53">
        <v>0.41</v>
      </c>
    </row>
    <row r="87" spans="8:9" ht="15" x14ac:dyDescent="0.2">
      <c r="H87" s="3" t="s">
        <v>85</v>
      </c>
      <c r="I87" s="3">
        <f>AJ4</f>
        <v>47.550047550047552</v>
      </c>
    </row>
    <row r="88" spans="8:9" ht="15" x14ac:dyDescent="0.2">
      <c r="H88" s="3" t="s">
        <v>87</v>
      </c>
      <c r="I88" s="3">
        <v>0.59899999999999998</v>
      </c>
    </row>
    <row r="89" spans="8:9" ht="15" x14ac:dyDescent="0.2">
      <c r="H89" s="3" t="s">
        <v>131</v>
      </c>
      <c r="I89" s="3">
        <f>I87/I88</f>
        <v>79.382383222116118</v>
      </c>
    </row>
    <row r="90" spans="8:9" ht="15" x14ac:dyDescent="0.2">
      <c r="H90" s="3" t="s">
        <v>93</v>
      </c>
      <c r="I90" s="3">
        <v>5</v>
      </c>
    </row>
    <row r="91" spans="8:9" ht="15" x14ac:dyDescent="0.2">
      <c r="H91" s="3" t="s">
        <v>96</v>
      </c>
      <c r="I91" s="3">
        <f>I89*I90%</f>
        <v>3.9691191611058061</v>
      </c>
    </row>
    <row r="92" spans="8:9" ht="15" x14ac:dyDescent="0.2">
      <c r="H92" s="3" t="s">
        <v>38</v>
      </c>
      <c r="I92" s="3">
        <f>I89+I91</f>
        <v>83.351502383221927</v>
      </c>
    </row>
    <row r="94" spans="8:9" ht="15" x14ac:dyDescent="0.2">
      <c r="H94" s="3" t="s">
        <v>132</v>
      </c>
      <c r="I94" s="3"/>
    </row>
    <row r="95" spans="8:9" ht="15" x14ac:dyDescent="0.2">
      <c r="H95" s="3" t="s">
        <v>130</v>
      </c>
      <c r="I95" s="3"/>
    </row>
    <row r="96" spans="8:9" ht="15" x14ac:dyDescent="0.2">
      <c r="H96" s="3" t="s">
        <v>133</v>
      </c>
      <c r="I96" s="3">
        <v>0.83299999999999996</v>
      </c>
    </row>
    <row r="97" spans="8:10" ht="15" x14ac:dyDescent="0.2">
      <c r="H97" s="3" t="s">
        <v>134</v>
      </c>
      <c r="I97" s="3">
        <v>0.17699999999999999</v>
      </c>
    </row>
    <row r="98" spans="8:10" ht="15" x14ac:dyDescent="0.2">
      <c r="H98" s="3" t="s">
        <v>127</v>
      </c>
      <c r="I98" s="3">
        <f>I92</f>
        <v>83.351502383221927</v>
      </c>
    </row>
    <row r="99" spans="8:10" ht="15" x14ac:dyDescent="0.2">
      <c r="H99" s="3" t="s">
        <v>135</v>
      </c>
      <c r="I99" s="3">
        <f>I98*I96</f>
        <v>69.431801485223858</v>
      </c>
    </row>
    <row r="100" spans="8:10" ht="15" x14ac:dyDescent="0.2">
      <c r="H100" s="3" t="s">
        <v>136</v>
      </c>
      <c r="I100" s="3">
        <f>I98*I97</f>
        <v>14.753215921830281</v>
      </c>
    </row>
    <row r="101" spans="8:10" ht="15" x14ac:dyDescent="0.2">
      <c r="H101" s="3" t="s">
        <v>137</v>
      </c>
      <c r="I101" s="3">
        <v>1.5</v>
      </c>
    </row>
    <row r="103" spans="8:10" ht="15" x14ac:dyDescent="0.2">
      <c r="H103" s="1" t="s">
        <v>138</v>
      </c>
    </row>
    <row r="104" spans="8:10" ht="15" x14ac:dyDescent="0.2">
      <c r="H104" s="1" t="s">
        <v>139</v>
      </c>
      <c r="I104" s="1">
        <v>4</v>
      </c>
    </row>
    <row r="105" spans="8:10" ht="15" x14ac:dyDescent="0.2">
      <c r="H105" s="1">
        <f t="shared" ref="H105:H114" si="26">IF(C24="Granulado - Massa Preta",4,0)</f>
        <v>0</v>
      </c>
      <c r="I105" s="3">
        <f t="shared" ref="I105:I114" si="27">IF(H105&gt;0,E24,0)</f>
        <v>0</v>
      </c>
      <c r="J105" s="3"/>
    </row>
    <row r="106" spans="8:10" ht="15" x14ac:dyDescent="0.2">
      <c r="H106" s="3">
        <f t="shared" si="26"/>
        <v>0</v>
      </c>
      <c r="I106" s="3">
        <f t="shared" si="27"/>
        <v>0</v>
      </c>
      <c r="J106" s="3"/>
    </row>
    <row r="107" spans="8:10" ht="15" x14ac:dyDescent="0.2">
      <c r="H107" s="3">
        <f t="shared" si="26"/>
        <v>0</v>
      </c>
      <c r="I107" s="3">
        <f t="shared" si="27"/>
        <v>0</v>
      </c>
      <c r="J107" s="3"/>
    </row>
    <row r="108" spans="8:10" ht="15" x14ac:dyDescent="0.2">
      <c r="H108" s="3">
        <f t="shared" si="26"/>
        <v>0</v>
      </c>
      <c r="I108" s="3">
        <f t="shared" si="27"/>
        <v>0</v>
      </c>
      <c r="J108" s="3"/>
    </row>
    <row r="109" spans="8:10" ht="15" x14ac:dyDescent="0.2">
      <c r="H109" s="3">
        <f t="shared" si="26"/>
        <v>0</v>
      </c>
      <c r="I109" s="3">
        <f t="shared" si="27"/>
        <v>0</v>
      </c>
      <c r="J109" s="3"/>
    </row>
    <row r="110" spans="8:10" ht="15" x14ac:dyDescent="0.2">
      <c r="H110" s="3">
        <f t="shared" si="26"/>
        <v>0</v>
      </c>
      <c r="I110" s="3">
        <f t="shared" si="27"/>
        <v>0</v>
      </c>
      <c r="J110" s="3"/>
    </row>
    <row r="111" spans="8:10" ht="15" x14ac:dyDescent="0.2">
      <c r="H111" s="3">
        <f t="shared" si="26"/>
        <v>0</v>
      </c>
      <c r="I111" s="3">
        <f t="shared" si="27"/>
        <v>0</v>
      </c>
      <c r="J111" s="3"/>
    </row>
    <row r="112" spans="8:10" ht="15" x14ac:dyDescent="0.2">
      <c r="H112" s="3">
        <f t="shared" si="26"/>
        <v>4</v>
      </c>
      <c r="I112" s="3" t="str">
        <f t="shared" si="27"/>
        <v/>
      </c>
      <c r="J112" s="3"/>
    </row>
    <row r="113" spans="8:11" ht="15" x14ac:dyDescent="0.2">
      <c r="H113" s="3">
        <f t="shared" si="26"/>
        <v>0</v>
      </c>
      <c r="I113" s="3">
        <f t="shared" si="27"/>
        <v>0</v>
      </c>
      <c r="J113" s="3"/>
    </row>
    <row r="114" spans="8:11" ht="15" x14ac:dyDescent="0.2">
      <c r="H114" s="3">
        <f t="shared" si="26"/>
        <v>0</v>
      </c>
      <c r="I114" s="3">
        <f t="shared" si="27"/>
        <v>0</v>
      </c>
      <c r="J114" s="3"/>
    </row>
    <row r="115" spans="8:11" ht="15" x14ac:dyDescent="0.2">
      <c r="H115" s="1" t="s">
        <v>140</v>
      </c>
      <c r="I115" s="1">
        <f>SUM(I105:I114)</f>
        <v>0</v>
      </c>
      <c r="J115" s="3">
        <f>I115*I104</f>
        <v>0</v>
      </c>
      <c r="K115" s="1" t="str">
        <f>IF(J115=0,"Zero","Maior")</f>
        <v>Zero</v>
      </c>
    </row>
  </sheetData>
  <protectedRanges>
    <protectedRange sqref="E3:F3" name="Range1"/>
    <protectedRange sqref="D5" name="Range2"/>
    <protectedRange sqref="D4" name="Range3"/>
    <protectedRange sqref="B24:C33" name="Range4"/>
  </protectedRanges>
  <mergeCells count="18">
    <mergeCell ref="B5:C5"/>
    <mergeCell ref="E5:F5"/>
    <mergeCell ref="B6:C6"/>
    <mergeCell ref="E6:F6"/>
    <mergeCell ref="B7:C7"/>
    <mergeCell ref="B2:F2"/>
    <mergeCell ref="B3:D3"/>
    <mergeCell ref="E3:F3"/>
    <mergeCell ref="B4:C4"/>
    <mergeCell ref="E4:F4"/>
    <mergeCell ref="O24:O25"/>
    <mergeCell ref="M8:M9"/>
    <mergeCell ref="B14:E14"/>
    <mergeCell ref="B22:F22"/>
    <mergeCell ref="E23:F23"/>
    <mergeCell ref="N24:N25"/>
    <mergeCell ref="B11:E11"/>
    <mergeCell ref="B8:E8"/>
  </mergeCells>
  <conditionalFormatting sqref="B12">
    <cfRule type="expression" dxfId="132" priority="169">
      <formula>E262138="Recheios para Bolos"</formula>
    </cfRule>
  </conditionalFormatting>
  <conditionalFormatting sqref="B13">
    <cfRule type="expression" dxfId="131" priority="168">
      <formula>E262137="Recheios para Bolos"</formula>
    </cfRule>
  </conditionalFormatting>
  <conditionalFormatting sqref="B14">
    <cfRule type="expression" dxfId="130" priority="161">
      <formula>E262139="Recheios para Bolos"</formula>
    </cfRule>
    <cfRule type="expression" dxfId="129" priority="151">
      <formula>E262136="Recheios para Bolos"</formula>
    </cfRule>
  </conditionalFormatting>
  <conditionalFormatting sqref="B15">
    <cfRule type="expression" dxfId="128" priority="150">
      <formula>E262135="Recheios para Bolos"</formula>
    </cfRule>
    <cfRule type="expression" dxfId="127" priority="160">
      <formula>E262138="Recheios para Bolos"</formula>
    </cfRule>
  </conditionalFormatting>
  <conditionalFormatting sqref="B16">
    <cfRule type="expression" dxfId="126" priority="145">
      <formula>E262134="Recheios para Bolos"</formula>
    </cfRule>
    <cfRule type="expression" dxfId="125" priority="155">
      <formula>E262137="Recheios para Bolos"</formula>
    </cfRule>
  </conditionalFormatting>
  <conditionalFormatting sqref="B23">
    <cfRule type="expression" dxfId="124" priority="240">
      <formula>E262127="Recheios para Bolos"</formula>
    </cfRule>
  </conditionalFormatting>
  <conditionalFormatting sqref="B24">
    <cfRule type="expression" dxfId="123" priority="239">
      <formula>E262126="Recheios para Bolos"</formula>
    </cfRule>
  </conditionalFormatting>
  <conditionalFormatting sqref="B25:B33">
    <cfRule type="expression" dxfId="122" priority="238">
      <formula>E262125="Recheios para Bolos"</formula>
    </cfRule>
  </conditionalFormatting>
  <conditionalFormatting sqref="B26">
    <cfRule type="expression" dxfId="121" priority="224">
      <formula>E262124="Recheios para Bolos"</formula>
    </cfRule>
  </conditionalFormatting>
  <conditionalFormatting sqref="B27">
    <cfRule type="expression" dxfId="120" priority="223">
      <formula>E262123="Recheios para Bolos"</formula>
    </cfRule>
  </conditionalFormatting>
  <conditionalFormatting sqref="B28">
    <cfRule type="expression" dxfId="119" priority="222">
      <formula>E262122="Recheios para Bolos"</formula>
    </cfRule>
  </conditionalFormatting>
  <conditionalFormatting sqref="B29">
    <cfRule type="expression" dxfId="118" priority="221">
      <formula>E262121="Recheios para Bolos"</formula>
    </cfRule>
  </conditionalFormatting>
  <conditionalFormatting sqref="B30">
    <cfRule type="expression" dxfId="117" priority="220">
      <formula>E262120="Recheios para Bolos"</formula>
    </cfRule>
  </conditionalFormatting>
  <conditionalFormatting sqref="B31">
    <cfRule type="expression" dxfId="116" priority="218">
      <formula>E262119="Recheios para Bolos"</formula>
    </cfRule>
  </conditionalFormatting>
  <conditionalFormatting sqref="B32">
    <cfRule type="expression" dxfId="115" priority="217">
      <formula>E262118="Recheios para Bolos"</formula>
    </cfRule>
  </conditionalFormatting>
  <conditionalFormatting sqref="B33">
    <cfRule type="expression" dxfId="114" priority="216">
      <formula>E262117="Recheios para Bolos"</formula>
    </cfRule>
  </conditionalFormatting>
  <conditionalFormatting sqref="B34">
    <cfRule type="expression" dxfId="113" priority="215">
      <formula>E262116="Recheios para Bolos"</formula>
    </cfRule>
  </conditionalFormatting>
  <conditionalFormatting sqref="B35">
    <cfRule type="expression" dxfId="112" priority="1">
      <formula>K115="Maior"</formula>
    </cfRule>
  </conditionalFormatting>
  <conditionalFormatting sqref="B37">
    <cfRule type="expression" dxfId="111" priority="175">
      <formula>E262114="Recheios para Bolos"</formula>
    </cfRule>
  </conditionalFormatting>
  <conditionalFormatting sqref="B38">
    <cfRule type="expression" dxfId="110" priority="174">
      <formula>E262113="Recheios para Bolos"</formula>
    </cfRule>
  </conditionalFormatting>
  <conditionalFormatting sqref="B39">
    <cfRule type="expression" dxfId="109" priority="173">
      <formula>E262112="Recheios para Bolos"</formula>
    </cfRule>
  </conditionalFormatting>
  <conditionalFormatting sqref="B4:C4">
    <cfRule type="expression" dxfId="108" priority="252">
      <formula>E2="Geléia de Morango"</formula>
    </cfRule>
  </conditionalFormatting>
  <conditionalFormatting sqref="B5:C6">
    <cfRule type="expression" dxfId="107" priority="247">
      <formula>E262145="Brigadeiro"</formula>
    </cfRule>
  </conditionalFormatting>
  <conditionalFormatting sqref="B6:C6">
    <cfRule type="expression" dxfId="106" priority="245">
      <formula>E262144="Brigadeiro"</formula>
    </cfRule>
    <cfRule type="expression" dxfId="105" priority="244">
      <formula>E262144="Recheios para Bolos"</formula>
    </cfRule>
  </conditionalFormatting>
  <conditionalFormatting sqref="B4:D4 B6:D6">
    <cfRule type="expression" dxfId="104" priority="242">
      <formula>$E$3="Brigadeiros"</formula>
    </cfRule>
  </conditionalFormatting>
  <conditionalFormatting sqref="B4:D4 B6:D7">
    <cfRule type="expression" dxfId="103" priority="258">
      <formula>$E$3="Brigadeiros"</formula>
    </cfRule>
  </conditionalFormatting>
  <conditionalFormatting sqref="B5:D5">
    <cfRule type="expression" dxfId="102" priority="254">
      <formula>$E$3="Geléia de Morango"</formula>
    </cfRule>
  </conditionalFormatting>
  <conditionalFormatting sqref="B5:D6">
    <cfRule type="expression" dxfId="101" priority="246">
      <formula>$E$3="Recheios para Bolos"</formula>
    </cfRule>
  </conditionalFormatting>
  <conditionalFormatting sqref="B5:D7">
    <cfRule type="expression" dxfId="100" priority="260">
      <formula>$E$3="Recheios para Bolos"</formula>
    </cfRule>
  </conditionalFormatting>
  <conditionalFormatting sqref="B11:E11">
    <cfRule type="expression" dxfId="99" priority="184">
      <formula>E262139="Recheios para Bolos"</formula>
    </cfRule>
  </conditionalFormatting>
  <conditionalFormatting sqref="B11:E16 B5:D5 F9:F10 F15:F16 B22:F33 B37:F39">
    <cfRule type="expression" dxfId="98" priority="261">
      <formula>$E$3="Geléia de Morango"</formula>
    </cfRule>
  </conditionalFormatting>
  <conditionalFormatting sqref="B14:E14">
    <cfRule type="expression" dxfId="97" priority="256">
      <formula>E262142="Recheios para Bolos"</formula>
    </cfRule>
    <cfRule type="expression" dxfId="96" priority="257">
      <formula>E262142="Recheios para Bolos"</formula>
    </cfRule>
  </conditionalFormatting>
  <conditionalFormatting sqref="B1:F1">
    <cfRule type="expression" dxfId="95" priority="133">
      <formula>$E$3="Recheios para Bolos"</formula>
    </cfRule>
  </conditionalFormatting>
  <conditionalFormatting sqref="B11:F13">
    <cfRule type="expression" dxfId="94" priority="183">
      <formula>E262139="Recheios para Bolos"</formula>
    </cfRule>
  </conditionalFormatting>
  <conditionalFormatting sqref="B11:F39">
    <cfRule type="expression" dxfId="93" priority="250">
      <formula>$E$3="Recheios para Bolos"</formula>
    </cfRule>
    <cfRule type="expression" dxfId="92" priority="251">
      <formula>$E$3="Geléia de Morango"</formula>
    </cfRule>
  </conditionalFormatting>
  <conditionalFormatting sqref="B11:F40 E6">
    <cfRule type="expression" dxfId="91" priority="259">
      <formula>$E$3="Recheios para Bolos"</formula>
    </cfRule>
  </conditionalFormatting>
  <conditionalFormatting sqref="B14:F16">
    <cfRule type="expression" dxfId="90" priority="182">
      <formula>E262145="Recheios para Bolos"</formula>
    </cfRule>
  </conditionalFormatting>
  <conditionalFormatting sqref="B22:F22">
    <cfRule type="expression" dxfId="89" priority="241">
      <formula>E262128="Recheios para Bolos"</formula>
    </cfRule>
  </conditionalFormatting>
  <conditionalFormatting sqref="B22:F33">
    <cfRule type="expression" dxfId="88" priority="134">
      <formula>E262128="Geléia de Morango"</formula>
    </cfRule>
  </conditionalFormatting>
  <conditionalFormatting sqref="C10 E10:F10">
    <cfRule type="expression" dxfId="87" priority="253">
      <formula>$E$3="Geléia de Morango"</formula>
    </cfRule>
  </conditionalFormatting>
  <conditionalFormatting sqref="C10">
    <cfRule type="expression" dxfId="86" priority="141">
      <formula>D262140="Geléia de Morango"</formula>
    </cfRule>
  </conditionalFormatting>
  <conditionalFormatting sqref="C12">
    <cfRule type="expression" dxfId="85" priority="167">
      <formula>D262138="Recheios para Bolos"</formula>
    </cfRule>
  </conditionalFormatting>
  <conditionalFormatting sqref="C13">
    <cfRule type="expression" dxfId="84" priority="166">
      <formula>D262137="Recheios para Bolos"</formula>
    </cfRule>
  </conditionalFormatting>
  <conditionalFormatting sqref="C15">
    <cfRule type="expression" dxfId="83" priority="159">
      <formula>D262138="Recheios para Bolos"</formula>
    </cfRule>
    <cfRule type="expression" dxfId="82" priority="149">
      <formula>D262135="Recheios para Bolos"</formula>
    </cfRule>
  </conditionalFormatting>
  <conditionalFormatting sqref="C16">
    <cfRule type="expression" dxfId="81" priority="144">
      <formula>D262134="Recheios para Bolos"</formula>
    </cfRule>
    <cfRule type="expression" dxfId="80" priority="154">
      <formula>D262137="Recheios para Bolos"</formula>
    </cfRule>
  </conditionalFormatting>
  <conditionalFormatting sqref="C23">
    <cfRule type="expression" dxfId="79" priority="235">
      <formula>D262127="Recheios para Bolos"</formula>
    </cfRule>
  </conditionalFormatting>
  <conditionalFormatting sqref="C24">
    <cfRule type="expression" dxfId="78" priority="234">
      <formula>D262126="Recheios para Bolos"</formula>
    </cfRule>
  </conditionalFormatting>
  <conditionalFormatting sqref="C25">
    <cfRule type="expression" dxfId="77" priority="233">
      <formula>D262125="Recheios para Bolos"</formula>
    </cfRule>
  </conditionalFormatting>
  <conditionalFormatting sqref="C26">
    <cfRule type="expression" dxfId="76" priority="232">
      <formula>D262124="Recheios para Bolos"</formula>
    </cfRule>
  </conditionalFormatting>
  <conditionalFormatting sqref="C27">
    <cfRule type="expression" dxfId="75" priority="231">
      <formula>D262123="Recheios para Bolos"</formula>
    </cfRule>
  </conditionalFormatting>
  <conditionalFormatting sqref="C28">
    <cfRule type="expression" dxfId="74" priority="248">
      <formula>D262122="Recheios para Bolos"</formula>
    </cfRule>
    <cfRule type="expression" dxfId="73" priority="136">
      <formula>D262122="Geléia de Morango"</formula>
    </cfRule>
  </conditionalFormatting>
  <conditionalFormatting sqref="C29">
    <cfRule type="expression" dxfId="72" priority="230">
      <formula>D262121="Recheios para Bolos"</formula>
    </cfRule>
  </conditionalFormatting>
  <conditionalFormatting sqref="C30">
    <cfRule type="expression" dxfId="71" priority="229">
      <formula>D262120="Recheios para Bolos"</formula>
    </cfRule>
  </conditionalFormatting>
  <conditionalFormatting sqref="C31">
    <cfRule type="expression" dxfId="70" priority="228">
      <formula>D262119="Recheios para Bolos"</formula>
    </cfRule>
  </conditionalFormatting>
  <conditionalFormatting sqref="C32">
    <cfRule type="expression" dxfId="69" priority="227">
      <formula>D262118="Recheios para Bolos"</formula>
    </cfRule>
  </conditionalFormatting>
  <conditionalFormatting sqref="C33">
    <cfRule type="expression" dxfId="68" priority="226">
      <formula>D262117="Recheios para Bolos"</formula>
    </cfRule>
  </conditionalFormatting>
  <conditionalFormatting sqref="C34">
    <cfRule type="expression" dxfId="67" priority="225">
      <formula>D262116="Recheios para Bolos"</formula>
    </cfRule>
  </conditionalFormatting>
  <conditionalFormatting sqref="C35">
    <cfRule type="expression" dxfId="66" priority="264">
      <formula>K115="Maior"</formula>
    </cfRule>
  </conditionalFormatting>
  <conditionalFormatting sqref="D4">
    <cfRule type="expression" dxfId="65" priority="188">
      <formula>C2="Brigadeiros"</formula>
    </cfRule>
    <cfRule type="expression" dxfId="64" priority="255">
      <formula>$E$3="Geléia de Morango"</formula>
    </cfRule>
    <cfRule type="expression" dxfId="63" priority="243">
      <formula>$E$3="Recheios para Bolos"</formula>
    </cfRule>
  </conditionalFormatting>
  <conditionalFormatting sqref="D5">
    <cfRule type="expression" dxfId="62" priority="187">
      <formula>$E$3="Brigadeiros"</formula>
    </cfRule>
  </conditionalFormatting>
  <conditionalFormatting sqref="D5:D6">
    <cfRule type="expression" dxfId="61" priority="237">
      <formula>C262145="Recheios para Bolos"</formula>
    </cfRule>
  </conditionalFormatting>
  <conditionalFormatting sqref="D6">
    <cfRule type="expression" dxfId="60" priority="236">
      <formula>C262144="Recheios para Bolos"</formula>
    </cfRule>
    <cfRule type="expression" dxfId="59" priority="135">
      <formula>C262144="Geléia de Morango"</formula>
    </cfRule>
  </conditionalFormatting>
  <conditionalFormatting sqref="D12">
    <cfRule type="expression" dxfId="58" priority="165">
      <formula>C262138="Recheios para Bolos"</formula>
    </cfRule>
  </conditionalFormatting>
  <conditionalFormatting sqref="D13">
    <cfRule type="expression" dxfId="57" priority="164">
      <formula>C262137="Recheios para Bolos"</formula>
    </cfRule>
  </conditionalFormatting>
  <conditionalFormatting sqref="D15">
    <cfRule type="expression" dxfId="56" priority="158">
      <formula>C262138="Recheios para Bolos"</formula>
    </cfRule>
    <cfRule type="expression" dxfId="55" priority="148">
      <formula>C262135="Recheios para Bolos"</formula>
    </cfRule>
  </conditionalFormatting>
  <conditionalFormatting sqref="D24">
    <cfRule type="expression" dxfId="54" priority="212">
      <formula>C262126="Recheios para Bolos"</formula>
    </cfRule>
  </conditionalFormatting>
  <conditionalFormatting sqref="D25:D33">
    <cfRule type="expression" dxfId="53" priority="186">
      <formula>C262126="Recheios para Bolos"</formula>
    </cfRule>
    <cfRule type="expression" dxfId="52" priority="185">
      <formula>C262125="Recheios para Bolos"</formula>
    </cfRule>
  </conditionalFormatting>
  <conditionalFormatting sqref="D26">
    <cfRule type="expression" dxfId="51" priority="219">
      <formula>C262124="Recheios para Bolos"</formula>
    </cfRule>
  </conditionalFormatting>
  <conditionalFormatting sqref="D27">
    <cfRule type="expression" dxfId="50" priority="181">
      <formula>C262123="Recheios para Bolos"</formula>
    </cfRule>
  </conditionalFormatting>
  <conditionalFormatting sqref="D28">
    <cfRule type="expression" dxfId="49" priority="180">
      <formula>C262122="Recheios para Bolos"</formula>
    </cfRule>
  </conditionalFormatting>
  <conditionalFormatting sqref="D29">
    <cfRule type="expression" dxfId="48" priority="179">
      <formula>C262121="Recheios para Bolos"</formula>
    </cfRule>
  </conditionalFormatting>
  <conditionalFormatting sqref="D30">
    <cfRule type="expression" dxfId="47" priority="178">
      <formula>C262120="Recheios para Bolos"</formula>
    </cfRule>
  </conditionalFormatting>
  <conditionalFormatting sqref="D31">
    <cfRule type="expression" dxfId="46" priority="177">
      <formula>C262119="Recheios para Bolos"</formula>
    </cfRule>
  </conditionalFormatting>
  <conditionalFormatting sqref="D32">
    <cfRule type="expression" dxfId="45" priority="176">
      <formula>C262118="Recheios para Bolos"</formula>
    </cfRule>
  </conditionalFormatting>
  <conditionalFormatting sqref="D32:D33">
    <cfRule type="expression" dxfId="44" priority="214">
      <formula>C262137="Recheios para Bolos"</formula>
    </cfRule>
  </conditionalFormatting>
  <conditionalFormatting sqref="D33">
    <cfRule type="expression" dxfId="43" priority="137">
      <formula>C262117="Geléia de Morango"</formula>
    </cfRule>
  </conditionalFormatting>
  <conditionalFormatting sqref="D34">
    <cfRule type="expression" dxfId="42" priority="211">
      <formula>C262116="Recheios para Bolos"</formula>
    </cfRule>
  </conditionalFormatting>
  <conditionalFormatting sqref="D35">
    <cfRule type="expression" dxfId="41" priority="265">
      <formula>K115="Maior"</formula>
    </cfRule>
  </conditionalFormatting>
  <conditionalFormatting sqref="D37">
    <cfRule type="expression" dxfId="40" priority="172">
      <formula>C262114="Recheios para Bolos"</formula>
    </cfRule>
  </conditionalFormatting>
  <conditionalFormatting sqref="D38">
    <cfRule type="expression" dxfId="39" priority="171">
      <formula>C262113="Recheios para Bolos"</formula>
    </cfRule>
  </conditionalFormatting>
  <conditionalFormatting sqref="D39">
    <cfRule type="expression" dxfId="38" priority="170">
      <formula>C262112="Recheios para Bolos"</formula>
    </cfRule>
  </conditionalFormatting>
  <conditionalFormatting sqref="D23:F31 F32:F33">
    <cfRule type="expression" dxfId="37" priority="213">
      <formula>C262127="Recheios para Bolos"</formula>
    </cfRule>
  </conditionalFormatting>
  <conditionalFormatting sqref="E10">
    <cfRule type="expression" dxfId="36" priority="140">
      <formula>B262140="Geléia de Morango"</formula>
    </cfRule>
  </conditionalFormatting>
  <conditionalFormatting sqref="E12">
    <cfRule type="expression" dxfId="35" priority="163">
      <formula>B262138="Recheios para Bolos"</formula>
    </cfRule>
  </conditionalFormatting>
  <conditionalFormatting sqref="E13">
    <cfRule type="expression" dxfId="34" priority="162">
      <formula>B262137="Recheios para Bolos"</formula>
    </cfRule>
  </conditionalFormatting>
  <conditionalFormatting sqref="E15">
    <cfRule type="expression" dxfId="33" priority="147">
      <formula>B262135="Recheios para Bolos"</formula>
    </cfRule>
    <cfRule type="expression" dxfId="32" priority="157">
      <formula>B262138="Recheios para Bolos"</formula>
    </cfRule>
  </conditionalFormatting>
  <conditionalFormatting sqref="E16">
    <cfRule type="expression" dxfId="31" priority="153">
      <formula>B262137="Recheios para Bolos"</formula>
    </cfRule>
    <cfRule type="expression" dxfId="30" priority="143">
      <formula>B262134="Recheios para Bolos"</formula>
    </cfRule>
  </conditionalFormatting>
  <conditionalFormatting sqref="E23">
    <cfRule type="expression" dxfId="29" priority="210">
      <formula>B262127="Recheios para Bolos"</formula>
    </cfRule>
  </conditionalFormatting>
  <conditionalFormatting sqref="E24">
    <cfRule type="expression" dxfId="28" priority="209">
      <formula>B262126="Recheios para Bolos"</formula>
    </cfRule>
  </conditionalFormatting>
  <conditionalFormatting sqref="E25">
    <cfRule type="expression" dxfId="27" priority="208">
      <formula>B262125="Recheios para Bolos"</formula>
    </cfRule>
  </conditionalFormatting>
  <conditionalFormatting sqref="E26">
    <cfRule type="expression" dxfId="26" priority="207">
      <formula>B262124="Recheios para Bolos"</formula>
    </cfRule>
  </conditionalFormatting>
  <conditionalFormatting sqref="E27">
    <cfRule type="expression" dxfId="25" priority="206">
      <formula>B262123="Recheios para Bolos"</formula>
    </cfRule>
  </conditionalFormatting>
  <conditionalFormatting sqref="E28">
    <cfRule type="expression" dxfId="24" priority="205">
      <formula>B262122="Recheios para Bolos"</formula>
    </cfRule>
  </conditionalFormatting>
  <conditionalFormatting sqref="E29">
    <cfRule type="expression" dxfId="23" priority="204">
      <formula>B262121="Recheios para Bolos"</formula>
    </cfRule>
  </conditionalFormatting>
  <conditionalFormatting sqref="E30">
    <cfRule type="expression" dxfId="22" priority="203">
      <formula>B262120="Recheios para Bolos"</formula>
    </cfRule>
  </conditionalFormatting>
  <conditionalFormatting sqref="E31">
    <cfRule type="expression" dxfId="21" priority="202">
      <formula>B262119="Recheios para Bolos"</formula>
    </cfRule>
  </conditionalFormatting>
  <conditionalFormatting sqref="E32">
    <cfRule type="expression" dxfId="20" priority="201">
      <formula>B262118="Recheios para Bolos"</formula>
    </cfRule>
  </conditionalFormatting>
  <conditionalFormatting sqref="E34">
    <cfRule type="expression" dxfId="19" priority="200">
      <formula>B262116="Recheios para Bolos"</formula>
    </cfRule>
  </conditionalFormatting>
  <conditionalFormatting sqref="E35">
    <cfRule type="expression" dxfId="18" priority="266">
      <formula>K115="Maior"</formula>
    </cfRule>
  </conditionalFormatting>
  <conditionalFormatting sqref="F9">
    <cfRule type="expression" dxfId="17" priority="138">
      <formula>AME262141="Geléia de Morango"</formula>
    </cfRule>
  </conditionalFormatting>
  <conditionalFormatting sqref="F10">
    <cfRule type="expression" dxfId="16" priority="139">
      <formula>AME262140="Geléia de Morango"</formula>
    </cfRule>
  </conditionalFormatting>
  <conditionalFormatting sqref="F15">
    <cfRule type="expression" dxfId="15" priority="156">
      <formula>AME262138="Recheios para Bolos"</formula>
    </cfRule>
    <cfRule type="expression" dxfId="14" priority="146">
      <formula>AME262135="Recheios para Bolos"</formula>
    </cfRule>
  </conditionalFormatting>
  <conditionalFormatting sqref="F16">
    <cfRule type="expression" dxfId="13" priority="152">
      <formula>AME262137="Recheios para Bolos"</formula>
    </cfRule>
    <cfRule type="expression" dxfId="12" priority="142">
      <formula>AME262134="Recheios para Bolos"</formula>
    </cfRule>
  </conditionalFormatting>
  <conditionalFormatting sqref="F24:F33">
    <cfRule type="expression" dxfId="11" priority="199">
      <formula>AME262126="Recheios para Bolos"</formula>
    </cfRule>
  </conditionalFormatting>
  <conditionalFormatting sqref="F25">
    <cfRule type="expression" dxfId="10" priority="198">
      <formula>AME262125="Recheios para Bolos"</formula>
    </cfRule>
  </conditionalFormatting>
  <conditionalFormatting sqref="F26">
    <cfRule type="expression" dxfId="9" priority="195">
      <formula>AME262124="Recheios para Bolos"</formula>
    </cfRule>
  </conditionalFormatting>
  <conditionalFormatting sqref="F27">
    <cfRule type="expression" dxfId="8" priority="197">
      <formula>AME262123="Recheios para Bolos"</formula>
    </cfRule>
  </conditionalFormatting>
  <conditionalFormatting sqref="F28">
    <cfRule type="expression" dxfId="7" priority="196">
      <formula>AME262122="Recheios para Bolos"</formula>
    </cfRule>
  </conditionalFormatting>
  <conditionalFormatting sqref="F29">
    <cfRule type="expression" dxfId="6" priority="194">
      <formula>AME262121="Recheios para Bolos"</formula>
    </cfRule>
  </conditionalFormatting>
  <conditionalFormatting sqref="F30">
    <cfRule type="expression" dxfId="5" priority="193">
      <formula>AME262120="Recheios para Bolos"</formula>
    </cfRule>
  </conditionalFormatting>
  <conditionalFormatting sqref="F31">
    <cfRule type="expression" dxfId="4" priority="192">
      <formula>AME262119="Recheios para Bolos"</formula>
    </cfRule>
  </conditionalFormatting>
  <conditionalFormatting sqref="F32">
    <cfRule type="expression" dxfId="3" priority="191">
      <formula>AME262118="Recheios para Bolos"</formula>
    </cfRule>
  </conditionalFormatting>
  <conditionalFormatting sqref="F33">
    <cfRule type="expression" dxfId="2" priority="190">
      <formula>AME262117="Recheios para Bolos"</formula>
    </cfRule>
  </conditionalFormatting>
  <conditionalFormatting sqref="F34">
    <cfRule type="expression" dxfId="1" priority="189">
      <formula>AME262116="Recheios para Bolos"</formula>
    </cfRule>
  </conditionalFormatting>
  <conditionalFormatting sqref="F35">
    <cfRule type="expression" dxfId="0" priority="267">
      <formula>K115="Maior"</formula>
    </cfRule>
  </conditionalFormatting>
  <dataValidations count="2">
    <dataValidation type="list" allowBlank="1" showInputMessage="1" showErrorMessage="1" errorTitle="The value you entered is not valid." error="Selecione as opçoes existentes entre &quot;Brigadeiros&quot; , &quot;Recheios para Bolos&quot; ou &quot;Geléia de Morango&quot;" prompt="Escolha a Receita" sqref="E3" xr:uid="{9DF820AE-B852-4D11-A86E-B46A9D9E6500}">
      <formula1>"Brigadeiros,Recheios para Bolos,Geléia de Morango"</formula1>
    </dataValidation>
    <dataValidation type="list" allowBlank="1" showInputMessage="1" showErrorMessage="1" error="Escolha entre as opções disponíveis" prompt="Inserir um item da lista fornecida." sqref="C24:C33" xr:uid="{5BD373BB-BF6B-4BD8-B0D2-45DEBA41B409}">
      <formula1>"Leite em pó - Massa preta,Granulado - Massa Preta,Miçanguinhas - Massa preta,Leite em pó - Massa Branca,Miçanguinhas - Massa Branca,Açúcar - Massa Preta,Açúcar - Massa Branca,Casadinho Leite em pó / Açúcar"</formula1>
    </dataValidation>
  </dataValidation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Calculadora de Recheios</vt:lpstr>
      <vt:lpstr>Calculadora de Brigadeiros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Káic Vicente</dc:creator>
  <cp:keywords/>
  <dc:description/>
  <cp:lastModifiedBy>Káic Lorran Vicente Prudencio</cp:lastModifiedBy>
  <cp:revision/>
  <dcterms:created xsi:type="dcterms:W3CDTF">2025-07-01T19:26:24Z</dcterms:created>
  <dcterms:modified xsi:type="dcterms:W3CDTF">2025-07-18T02:12:46Z</dcterms:modified>
  <cp:category/>
  <cp:contentStatus/>
</cp:coreProperties>
</file>