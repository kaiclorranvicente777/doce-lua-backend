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143" documentId="7_{D6A91A1A-2414-0942-B9CF-340969D62F96}" xr6:coauthVersionLast="47" xr6:coauthVersionMax="47" xr10:uidLastSave="{C819F194-8D7D-4CAD-A763-DF0FB6351E12}"/>
  <bookViews>
    <workbookView xWindow="-120" yWindow="-120" windowWidth="20730" windowHeight="1116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B9" i="1"/>
  <c r="E7" i="1"/>
  <c r="F7" i="1"/>
  <c r="B8" i="1"/>
  <c r="B10" i="1"/>
  <c r="E8" i="1"/>
  <c r="F8" i="1"/>
  <c r="E9" i="1"/>
  <c r="F9" i="1"/>
  <c r="E10" i="1"/>
  <c r="F10" i="1"/>
  <c r="E6" i="1"/>
  <c r="F6" i="1"/>
  <c r="E5" i="1"/>
  <c r="H1" i="1"/>
  <c r="H2" i="1"/>
  <c r="D7" i="1"/>
  <c r="H3" i="1"/>
  <c r="D8" i="1"/>
  <c r="H4" i="1"/>
  <c r="D9" i="1"/>
  <c r="D6" i="1"/>
  <c r="D10" i="1"/>
</calcChain>
</file>

<file path=xl/sharedStrings.xml><?xml version="1.0" encoding="utf-8"?>
<sst xmlns="http://schemas.openxmlformats.org/spreadsheetml/2006/main" count="13" uniqueCount="13">
  <si>
    <t>Cálculos de Redução e Proporção</t>
  </si>
  <si>
    <t>Redução Fixa</t>
  </si>
  <si>
    <t>Redução Restante</t>
  </si>
  <si>
    <t>1 Unidade</t>
  </si>
  <si>
    <t xml:space="preserve"> - Unidades / Kg</t>
  </si>
  <si>
    <t>Redução Topo Total</t>
  </si>
  <si>
    <t>Parâmetros para Progressão</t>
  </si>
  <si>
    <t>Quantidade por Pedido</t>
  </si>
  <si>
    <t>Preço Unitário/Kg</t>
  </si>
  <si>
    <t>Preço Âncora (Valor para Unidade):</t>
  </si>
  <si>
    <t>Preço com Desconto Máximo</t>
  </si>
  <si>
    <t>Quantidade Máxima de Progressão</t>
  </si>
  <si>
    <t>Tabela de Descontos Progressivos - Orçamento Doce Lua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</si>
</sst>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#,##0.00"/>
    <numFmt numFmtId="165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52CE-86FB-5644-9468-4262DDB9B2C1}">
  <dimension ref="A1:H10"/>
  <sheetViews>
    <sheetView tabSelected="1" zoomScale="110" zoomScaleNormal="110" zoomScaleSheetLayoutView="100" workbookViewId="0">
      <selection activeCell="B3" sqref="B3"/>
    </sheetView>
  </sheetViews>
  <sheetFormatPr defaultRowHeight="15" x14ac:dyDescent="0.25"/>
  <cols>
    <col min="1" max="1" width="33" bestFit="1" customWidth="1"/>
    <col min="2" max="2" width="6.7109375" bestFit="1" customWidth="1"/>
    <col min="4" max="4" width="21.140625" customWidth="1"/>
    <col min="5" max="5" width="11.42578125" customWidth="1"/>
    <col min="6" max="6" width="18.5703125" customWidth="1"/>
    <col min="8" max="8" width="0" hidden="1" customWidth="1"/>
  </cols>
  <sheetData>
    <row r="1" spans="1:8" x14ac:dyDescent="0.25">
      <c r="H1">
        <f>B5/5</f>
        <v>10</v>
      </c>
    </row>
    <row r="2" spans="1:8" x14ac:dyDescent="0.25">
      <c r="A2" s="5" t="s">
        <v>6</v>
      </c>
      <c r="B2" s="5"/>
      <c r="D2" s="5" t="s">
        <v>12</v>
      </c>
      <c r="E2" s="5"/>
      <c r="F2" s="5"/>
      <c r="H2">
        <f>2*H1</f>
        <v>20</v>
      </c>
    </row>
    <row r="3" spans="1:8" x14ac:dyDescent="0.25">
      <c r="A3" t="s">
        <v>9</v>
      </c>
      <c r="B3" s="1">
        <v>9.5</v>
      </c>
      <c r="D3" s="6" t="s">
        <v>7</v>
      </c>
      <c r="E3" s="6" t="s">
        <v>8</v>
      </c>
      <c r="F3" s="6" t="str">
        <f>CONCATENATE("Desconto sobre R$",B3)</f>
        <v>Desconto sobre R$9,5</v>
      </c>
      <c r="H3">
        <f>3*H1</f>
        <v>30</v>
      </c>
    </row>
    <row r="4" spans="1:8" x14ac:dyDescent="0.25">
      <c r="A4" t="s">
        <v>10</v>
      </c>
      <c r="B4" s="1">
        <v>8.5</v>
      </c>
      <c r="D4" s="6"/>
      <c r="E4" s="6"/>
      <c r="F4" s="6"/>
      <c r="H4">
        <f>4*H1</f>
        <v>40</v>
      </c>
    </row>
    <row r="5" spans="1:8" x14ac:dyDescent="0.25">
      <c r="A5" t="s">
        <v>11</v>
      </c>
      <c r="B5">
        <v>50</v>
      </c>
      <c r="D5" t="s">
        <v>3</v>
      </c>
      <c r="E5" s="2">
        <f>B3</f>
        <v>9.5</v>
      </c>
      <c r="F5" s="3"/>
      <c r="H5" t="s">
        <v>4</v>
      </c>
    </row>
    <row r="6" spans="1:8" x14ac:dyDescent="0.25">
      <c r="D6" t="str">
        <f>CONCATENATE(H1,$H$5)</f>
        <v>10 - Unidades / Kg</v>
      </c>
      <c r="E6" s="2">
        <f>B3*0.989</f>
        <v>9.3955000000000002</v>
      </c>
      <c r="F6" s="4">
        <f>1-(E6/B$3)</f>
        <v>1.100000000000001E-2</v>
      </c>
    </row>
    <row r="7" spans="1:8" x14ac:dyDescent="0.25">
      <c r="A7" s="5" t="s">
        <v>0</v>
      </c>
      <c r="B7" s="5"/>
      <c r="D7" t="str">
        <f>CONCATENATE(H2,$H$5)</f>
        <v>20 - Unidades / Kg</v>
      </c>
      <c r="E7" s="2">
        <f>B3-B$9</f>
        <v>9.31</v>
      </c>
      <c r="F7" s="4">
        <f>1-(E7/B$3)</f>
        <v>1.9999999999999907E-2</v>
      </c>
    </row>
    <row r="8" spans="1:8" x14ac:dyDescent="0.25">
      <c r="A8" t="s">
        <v>5</v>
      </c>
      <c r="B8" s="1">
        <f>B3-B4</f>
        <v>1</v>
      </c>
      <c r="D8" t="str">
        <f>CONCATENATE(H3,$H$5)</f>
        <v>30 - Unidades / Kg</v>
      </c>
      <c r="E8" s="2">
        <f>E7-(B$10*0.259)</f>
        <v>9.1002100000000006</v>
      </c>
      <c r="F8" s="4">
        <f>1-(E8/B$3)</f>
        <v>4.2083157894736822E-2</v>
      </c>
    </row>
    <row r="9" spans="1:8" x14ac:dyDescent="0.25">
      <c r="A9" t="s">
        <v>1</v>
      </c>
      <c r="B9" s="1">
        <f>B3*0.02</f>
        <v>0.19</v>
      </c>
      <c r="D9" t="str">
        <f>CONCATENATE(H4,$H$5)</f>
        <v>40 - Unidades / Kg</v>
      </c>
      <c r="E9" s="2">
        <f>E8-(B$10*0.333)</f>
        <v>8.8304800000000014</v>
      </c>
      <c r="F9" s="4">
        <f>1-(E9/B$3)</f>
        <v>7.0475789473684047E-2</v>
      </c>
    </row>
    <row r="10" spans="1:8" x14ac:dyDescent="0.25">
      <c r="A10" t="s">
        <v>2</v>
      </c>
      <c r="B10" s="1">
        <f>B8-B9</f>
        <v>0.81</v>
      </c>
      <c r="D10" t="str">
        <f>CONCATENATE(B5,H5)</f>
        <v>50 - Unidades / Kg</v>
      </c>
      <c r="E10" s="2">
        <f>B4</f>
        <v>8.5</v>
      </c>
      <c r="F10" s="4">
        <f>1-(E10/B$3)</f>
        <v>0.10526315789473684</v>
      </c>
    </row>
  </sheetData>
  <mergeCells count="6">
    <mergeCell ref="D2:F2"/>
    <mergeCell ref="D3:D4"/>
    <mergeCell ref="E3:E4"/>
    <mergeCell ref="F3:F4"/>
    <mergeCell ref="A7:B7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Lorran Vicente Prudencio</dc:creator>
  <cp:lastModifiedBy>Káic Lorran Vicente Prudencio</cp:lastModifiedBy>
  <dcterms:created xsi:type="dcterms:W3CDTF">2025-12-14T13:30:38Z</dcterms:created>
  <dcterms:modified xsi:type="dcterms:W3CDTF">2025-12-15T14:41:21Z</dcterms:modified>
</cp:coreProperties>
</file>